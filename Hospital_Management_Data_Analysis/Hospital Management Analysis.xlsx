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1119c1016ca04611/Desktop/Excel/Excel Project/Hospital Management Analysis/"/>
    </mc:Choice>
  </mc:AlternateContent>
  <xr:revisionPtr revIDLastSave="554" documentId="14_{307C923C-4C23-4997-B546-0EC046AD4C5A}" xr6:coauthVersionLast="47" xr6:coauthVersionMax="47" xr10:uidLastSave="{AF69BE35-3F81-45D9-AD40-93D3C16233F6}"/>
  <bookViews>
    <workbookView xWindow="-110" yWindow="-110" windowWidth="19420" windowHeight="11500" firstSheet="1" activeTab="1" xr2:uid="{93FCDBE8-D0F5-4984-9001-89E76EAF0C4F}"/>
  </bookViews>
  <sheets>
    <sheet name="Pivot Report" sheetId="1" r:id="rId1"/>
    <sheet name="Dashboard" sheetId="2" r:id="rId2"/>
    <sheet name="Daily ER No. Of Patients" sheetId="3" r:id="rId3"/>
    <sheet name="Average Wait Time of Patients" sheetId="4" r:id="rId4"/>
    <sheet name="Satisfaction score daily trends" sheetId="5" r:id="rId5"/>
  </sheets>
  <definedNames>
    <definedName name="Slicer_Date__Month">#N/A</definedName>
    <definedName name="Slicer_Date__Year">#N/A</definedName>
  </definedNames>
  <calcPr calcId="191029"/>
  <pivotCaches>
    <pivotCache cacheId="269" r:id="rId6"/>
    <pivotCache cacheId="272" r:id="rId7"/>
    <pivotCache cacheId="275" r:id="rId8"/>
    <pivotCache cacheId="278" r:id="rId9"/>
    <pivotCache cacheId="281" r:id="rId10"/>
    <pivotCache cacheId="284" r:id="rId11"/>
    <pivotCache cacheId="287" r:id="rId12"/>
    <pivotCache cacheId="290" r:id="rId13"/>
    <pivotCache cacheId="293" r:id="rId14"/>
    <pivotCache cacheId="296" r:id="rId15"/>
    <pivotCache cacheId="299" r:id="rId16"/>
    <pivotCache cacheId="302" r:id="rId17"/>
    <pivotCache cacheId="305" r:id="rId18"/>
    <pivotCache cacheId="308" r:id="rId19"/>
  </pivotCaches>
  <extLst>
    <ext xmlns:x14="http://schemas.microsoft.com/office/spreadsheetml/2009/9/main" uri="{876F7934-8845-4945-9796-88D515C7AA90}">
      <x14:pivotCaches>
        <pivotCache cacheId="14"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3ed97028-8f4b-45bc-a6c5-5559dfbc247e" name="Hospital Emergency Room Data" connection="Query - Hospital Emergency Room Data"/>
          <x15:modelTable id="Calender_Table_065e724d-2f6e-4db4-848a-dc04066ec770"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3" i="1" l="1"/>
  <c r="Y13" i="1"/>
  <c r="W13" i="1"/>
  <c r="X12" i="1"/>
  <c r="Y12" i="1"/>
  <c r="W1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45AC15-CACD-4405-9AE3-B7D0A48E848B}" name="Query - Calender_Table" description="Connection to the 'Calender_Table' query in the workbook." type="100" refreshedVersion="8" minRefreshableVersion="5">
    <extLst>
      <ext xmlns:x15="http://schemas.microsoft.com/office/spreadsheetml/2010/11/main" uri="{DE250136-89BD-433C-8126-D09CA5730AF9}">
        <x15:connection id="7dacb2d1-cc71-4598-9425-21b2bcecce66"/>
      </ext>
    </extLst>
  </connection>
  <connection id="2" xr16:uid="{B9DD43FD-57E0-40F1-A0CB-7E4413BBE871}"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2892ff4b-9454-4baf-8add-7a95c49bd3e3"/>
      </ext>
    </extLst>
  </connection>
  <connection id="3" xr16:uid="{04FAAB93-4253-4930-A2A4-74CC62D6462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<sst xmlns="http://schemas.openxmlformats.org/spreadsheetml/2006/main" count="174" uniqueCount="91">
  <si>
    <t xml:space="preserve">  </t>
  </si>
  <si>
    <t>Distinct Count of Patient Id</t>
  </si>
  <si>
    <t>No. Of Patients</t>
  </si>
  <si>
    <t>Average of Patient Waittime</t>
  </si>
  <si>
    <t>Average of Patient Satisfaction Score</t>
  </si>
  <si>
    <t>Row Labels</t>
  </si>
  <si>
    <t>Grand Total</t>
  </si>
  <si>
    <t>Patitent wait time Average</t>
  </si>
  <si>
    <t>Patients satisfaction score average</t>
  </si>
  <si>
    <t>Daily trends of No. of Patients visiting to emergency room</t>
  </si>
  <si>
    <t xml:space="preserve">Daily trends on Average wait time of Patients </t>
  </si>
  <si>
    <t>• Show Daily Trend and with an area chart to spot patterns like busy days or seasonal trends</t>
  </si>
  <si>
    <t>• Area chart to track daily changes and highlight days with longer wait times that might need improvements</t>
  </si>
  <si>
    <t>Daily trends on Average of patient satisfaction score</t>
  </si>
  <si>
    <t>•Area chart to show trends, spot drops satisfaction, and link them to busy time or challenges</t>
  </si>
  <si>
    <t>Count of Patient Admission Flag</t>
  </si>
  <si>
    <t>Admitted</t>
  </si>
  <si>
    <t>Not Admitted</t>
  </si>
  <si>
    <t>Count of Patient Admission Flag2</t>
  </si>
  <si>
    <t>Admission Status</t>
  </si>
  <si>
    <t>Patients</t>
  </si>
  <si>
    <t>0-9</t>
  </si>
  <si>
    <t>10-19</t>
  </si>
  <si>
    <t>20-29</t>
  </si>
  <si>
    <t>30-39</t>
  </si>
  <si>
    <t>40-49</t>
  </si>
  <si>
    <t>50-59</t>
  </si>
  <si>
    <t>60-69</t>
  </si>
  <si>
    <t>70-79</t>
  </si>
  <si>
    <t>Count of Age Group</t>
  </si>
  <si>
    <t>Age Group wise analysis</t>
  </si>
  <si>
    <t>Delay</t>
  </si>
  <si>
    <t>Ontime</t>
  </si>
  <si>
    <t>Count of Patient Id</t>
  </si>
  <si>
    <t>Patient Attented time analysis</t>
  </si>
  <si>
    <t>Female</t>
  </si>
  <si>
    <t>Male</t>
  </si>
  <si>
    <t>Count of Patient Gender</t>
  </si>
  <si>
    <t>Gender wise Analysis</t>
  </si>
  <si>
    <t>Cardiology</t>
  </si>
  <si>
    <t>Gastroenterology</t>
  </si>
  <si>
    <t>General Practice</t>
  </si>
  <si>
    <t>Neurology</t>
  </si>
  <si>
    <t>None</t>
  </si>
  <si>
    <t>Orthopedics</t>
  </si>
  <si>
    <t>Physiotherapy</t>
  </si>
  <si>
    <t>Renal</t>
  </si>
  <si>
    <t>Count of Department Referral</t>
  </si>
  <si>
    <t>% of Total</t>
  </si>
  <si>
    <t>Status in %</t>
  </si>
  <si>
    <t xml:space="preserve"> </t>
  </si>
  <si>
    <t>African American</t>
  </si>
  <si>
    <t>Asian</t>
  </si>
  <si>
    <t>Declined to Identify</t>
  </si>
  <si>
    <t>Native American/Alaska Native</t>
  </si>
  <si>
    <t>Pacific Islander</t>
  </si>
  <si>
    <t>Two or More Races</t>
  </si>
  <si>
    <t>White</t>
  </si>
  <si>
    <t>Count of Patient Race</t>
  </si>
  <si>
    <t>Sum of Patient Satisfaction Score</t>
  </si>
  <si>
    <t>2023</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</si>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</sst>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Aptos Narrow"/>
      <family val="2"/>
      <scheme val="minor"/>
    </font>
    <font>
      <b/>
      <sz val="11"/>
      <color theme="1"/>
      <name val="Aptos Narrow"/>
      <family val="2"/>
      <scheme val="minor"/>
    </font>
    <font>
      <b/>
      <sz val="10"/>
      <color theme="1"/>
      <name val="Aptos Narrow"/>
      <family val="2"/>
      <scheme val="minor"/>
    </font>
    <font>
      <b/>
      <sz val="14"/>
      <color theme="0"/>
      <name val="Aptos Narrow"/>
      <family val="2"/>
      <scheme val="minor"/>
    </font>
    <font>
      <sz val="14"/>
      <color theme="1"/>
      <name val="Aptos Narrow"/>
      <family val="2"/>
      <scheme val="minor"/>
    </font>
    <font>
      <b/>
      <sz val="18"/>
      <color theme="0"/>
      <name val="Aptos Narrow"/>
      <family val="2"/>
      <scheme val="minor"/>
    </font>
    <font>
      <sz val="8"/>
      <color theme="1"/>
      <name val="Aptos Narrow"/>
      <family val="2"/>
      <scheme val="minor"/>
    </font>
    <font>
      <sz val="11"/>
      <color theme="1"/>
      <name val="Aptos Narrow"/>
      <family val="2"/>
      <scheme val="minor"/>
    </font>
    <font>
      <sz val="9"/>
      <color theme="1"/>
      <name val="Aptos Narrow"/>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1" tint="0.499984740745262"/>
        <bgColor indexed="64"/>
      </patternFill>
    </fill>
    <fill>
      <patternFill patternType="solid">
        <fgColor rgb="FFFFFF00"/>
        <bgColor indexed="64"/>
      </patternFill>
    </fill>
  </fills>
  <borders count="1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2">
    <xf numFmtId="0" fontId="0" fillId="0" borderId="0"/>
    <xf numFmtId="9" fontId="7" fillId="0" borderId="0" applyFont="0" applyFill="0" applyBorder="0" applyAlignment="0" applyProtection="0"/>
  </cellStyleXfs>
  <cellXfs count="65">
    <xf numFmtId="0" fontId="0" fillId="0" borderId="0" xfId="0"/>
    <xf numFmtId="0" fontId="0" fillId="0" borderId="2" xfId="0" applyBorder="1"/>
    <xf numFmtId="2" fontId="0" fillId="0" borderId="1" xfId="0" applyNumberFormat="1" applyBorder="1"/>
    <xf numFmtId="0" fontId="0" fillId="0" borderId="3" xfId="0" applyBorder="1"/>
    <xf numFmtId="0" fontId="0" fillId="2" borderId="0" xfId="0" applyFill="1"/>
    <xf numFmtId="0" fontId="0" fillId="0" borderId="0" xfId="0" pivotButton="1"/>
    <xf numFmtId="0" fontId="0" fillId="0" borderId="0" xfId="0" applyAlignment="1">
      <alignment horizontal="left"/>
    </xf>
    <xf numFmtId="0" fontId="0" fillId="0" borderId="4" xfId="0" applyBorder="1"/>
    <xf numFmtId="0" fontId="0" fillId="0" borderId="1" xfId="0" applyBorder="1"/>
    <xf numFmtId="0" fontId="0" fillId="0" borderId="7" xfId="0" applyBorder="1" applyAlignment="1">
      <alignment horizontal="left"/>
    </xf>
    <xf numFmtId="0" fontId="0" fillId="0" borderId="8" xfId="0" applyBorder="1" applyAlignment="1">
      <alignment horizontal="left"/>
    </xf>
    <xf numFmtId="0" fontId="1" fillId="4" borderId="1" xfId="0" applyFont="1" applyFill="1" applyBorder="1"/>
    <xf numFmtId="2" fontId="0" fillId="0" borderId="3" xfId="0" applyNumberFormat="1" applyBorder="1"/>
    <xf numFmtId="2" fontId="0" fillId="0" borderId="2" xfId="0" applyNumberFormat="1" applyBorder="1"/>
    <xf numFmtId="2" fontId="0" fillId="0" borderId="4" xfId="0" applyNumberFormat="1" applyBorder="1"/>
    <xf numFmtId="0" fontId="0" fillId="0" borderId="10" xfId="0" pivotButton="1" applyBorder="1"/>
    <xf numFmtId="0" fontId="0" fillId="0" borderId="6" xfId="0" applyBorder="1" applyAlignment="1">
      <alignment horizontal="left"/>
    </xf>
    <xf numFmtId="0" fontId="0" fillId="0" borderId="10" xfId="0" applyBorder="1" applyAlignment="1">
      <alignment horizontal="left"/>
    </xf>
    <xf numFmtId="0" fontId="0" fillId="0" borderId="8" xfId="0" pivotButton="1" applyBorder="1"/>
    <xf numFmtId="0" fontId="0" fillId="3" borderId="6" xfId="0" applyFill="1" applyBorder="1"/>
    <xf numFmtId="0" fontId="0" fillId="3" borderId="5" xfId="0" applyFill="1" applyBorder="1"/>
    <xf numFmtId="0" fontId="0" fillId="3" borderId="12" xfId="0" applyFill="1" applyBorder="1"/>
    <xf numFmtId="0" fontId="0" fillId="3" borderId="7" xfId="0" applyFill="1" applyBorder="1"/>
    <xf numFmtId="0" fontId="0" fillId="3" borderId="0" xfId="0" applyFill="1"/>
    <xf numFmtId="0" fontId="0" fillId="3" borderId="13" xfId="0" applyFill="1" applyBorder="1"/>
    <xf numFmtId="0" fontId="0" fillId="3" borderId="8" xfId="0" applyFill="1" applyBorder="1"/>
    <xf numFmtId="0" fontId="0" fillId="3" borderId="9" xfId="0" applyFill="1" applyBorder="1"/>
    <xf numFmtId="0" fontId="0" fillId="3" borderId="14" xfId="0" applyFill="1" applyBorder="1"/>
    <xf numFmtId="0" fontId="5" fillId="3" borderId="0" xfId="0" applyFont="1" applyFill="1" applyAlignment="1">
      <alignment vertical="center"/>
    </xf>
    <xf numFmtId="0" fontId="5" fillId="0" borderId="0" xfId="0" applyFont="1" applyAlignment="1">
      <alignment vertical="center"/>
    </xf>
    <xf numFmtId="10" fontId="0" fillId="0" borderId="12" xfId="0" applyNumberFormat="1" applyBorder="1"/>
    <xf numFmtId="10" fontId="0" fillId="0" borderId="13" xfId="0" applyNumberFormat="1" applyBorder="1"/>
    <xf numFmtId="10" fontId="0" fillId="0" borderId="14" xfId="0" applyNumberFormat="1" applyBorder="1"/>
    <xf numFmtId="0" fontId="2" fillId="0" borderId="0" xfId="0" applyFont="1" applyAlignment="1">
      <alignment horizontal="center" vertical="center"/>
    </xf>
    <xf numFmtId="0" fontId="6" fillId="0" borderId="0" xfId="0" applyFont="1" applyAlignment="1">
      <alignment horizontal="left" vertical="top"/>
    </xf>
    <xf numFmtId="2" fontId="6" fillId="0" borderId="0" xfId="0" applyNumberFormat="1" applyFont="1" applyAlignment="1">
      <alignment horizontal="center" vertical="top"/>
    </xf>
    <xf numFmtId="10" fontId="6" fillId="0" borderId="0" xfId="0" applyNumberFormat="1" applyFont="1" applyAlignment="1">
      <alignment horizontal="center" vertical="top"/>
    </xf>
    <xf numFmtId="1" fontId="0" fillId="0" borderId="3" xfId="0" applyNumberFormat="1" applyBorder="1"/>
    <xf numFmtId="1" fontId="0" fillId="0" borderId="2" xfId="0" applyNumberFormat="1" applyBorder="1"/>
    <xf numFmtId="1" fontId="0" fillId="0" borderId="4" xfId="0" applyNumberFormat="1" applyBorder="1"/>
    <xf numFmtId="0" fontId="1" fillId="0" borderId="0" xfId="0" applyFont="1"/>
    <xf numFmtId="9" fontId="0" fillId="0" borderId="0" xfId="1" applyFont="1"/>
    <xf numFmtId="1" fontId="0" fillId="0" borderId="6" xfId="0" applyNumberFormat="1" applyBorder="1"/>
    <xf numFmtId="1" fontId="0" fillId="0" borderId="7" xfId="0" applyNumberFormat="1" applyBorder="1"/>
    <xf numFmtId="1" fontId="0" fillId="0" borderId="8" xfId="0" applyNumberFormat="1" applyBorder="1"/>
    <xf numFmtId="0" fontId="2" fillId="0" borderId="0" xfId="0" applyFont="1" applyAlignment="1">
      <alignment horizontal="left" vertical="top"/>
    </xf>
    <xf numFmtId="0" fontId="2" fillId="0" borderId="0" xfId="0" applyFont="1" applyAlignment="1">
      <alignment horizontal="center" vertical="top"/>
    </xf>
    <xf numFmtId="0" fontId="8" fillId="0" borderId="0" xfId="0" applyFont="1" applyAlignment="1">
      <alignment horizontal="left" vertical="top"/>
    </xf>
    <xf numFmtId="0" fontId="8" fillId="0" borderId="0" xfId="0" applyFont="1" applyAlignment="1">
      <alignment horizontal="center" vertical="top"/>
    </xf>
    <xf numFmtId="9" fontId="8" fillId="0" borderId="0" xfId="1" applyFont="1" applyAlignment="1">
      <alignment horizontal="center" vertical="top"/>
    </xf>
    <xf numFmtId="0" fontId="0" fillId="0" borderId="0" xfId="0" applyAlignment="1">
      <alignment horizontal="right" vertical="top"/>
    </xf>
    <xf numFmtId="0" fontId="1" fillId="4" borderId="10" xfId="0" applyFont="1" applyFill="1" applyBorder="1" applyAlignment="1">
      <alignment horizontal="center"/>
    </xf>
    <xf numFmtId="0" fontId="1" fillId="4" borderId="11" xfId="0" applyFont="1" applyFill="1" applyBorder="1" applyAlignment="1">
      <alignment horizontal="center"/>
    </xf>
    <xf numFmtId="0" fontId="1" fillId="4" borderId="10" xfId="0" applyFont="1" applyFill="1" applyBorder="1" applyAlignment="1">
      <alignment horizontal="center" vertical="center"/>
    </xf>
    <xf numFmtId="0" fontId="1" fillId="4" borderId="11" xfId="0" applyFont="1" applyFill="1" applyBorder="1" applyAlignment="1">
      <alignment horizontal="center" vertical="center"/>
    </xf>
    <xf numFmtId="0" fontId="1" fillId="4" borderId="10" xfId="0" applyFont="1" applyFill="1" applyBorder="1" applyAlignment="1">
      <alignment horizontal="center" vertical="top"/>
    </xf>
    <xf numFmtId="0" fontId="1" fillId="4" borderId="11" xfId="0" applyFont="1" applyFill="1" applyBorder="1" applyAlignment="1">
      <alignment horizontal="center" vertical="top"/>
    </xf>
    <xf numFmtId="0" fontId="3" fillId="3" borderId="0" xfId="0" applyFont="1" applyFill="1" applyAlignment="1">
      <alignment horizontal="left" vertical="top"/>
    </xf>
    <xf numFmtId="0" fontId="4" fillId="3" borderId="0" xfId="0" applyFont="1" applyFill="1" applyAlignment="1">
      <alignment horizontal="left" vertical="top"/>
    </xf>
    <xf numFmtId="0" fontId="5" fillId="3" borderId="0" xfId="0" applyFont="1" applyFill="1" applyAlignment="1">
      <alignment horizontal="center" vertical="center"/>
    </xf>
    <xf numFmtId="0" fontId="3" fillId="3" borderId="0" xfId="0" applyFont="1" applyFill="1" applyAlignment="1">
      <alignment horizontal="center" vertical="center"/>
    </xf>
    <xf numFmtId="0" fontId="0" fillId="0" borderId="3" xfId="0" applyNumberFormat="1" applyBorder="1"/>
    <xf numFmtId="0" fontId="0" fillId="0" borderId="2" xfId="0" applyNumberFormat="1" applyBorder="1"/>
    <xf numFmtId="0" fontId="0" fillId="0" borderId="4" xfId="0" applyNumberFormat="1" applyBorder="1"/>
    <xf numFmtId="0" fontId="0" fillId="0" borderId="1" xfId="0" applyNumberFormat="1" applyBorder="1"/>
  </cellXfs>
  <cellStyles count="2">
    <cellStyle name="Normal" xfId="0" builtinId="0"/>
    <cellStyle name="Percent" xfId="1" builtinId="5"/>
  </cellStyles>
  <dxfs count="610">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2" formatCode="0.00"/>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numFmt numFmtId="2" formatCode="0.00"/>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numFmt numFmtId="2" formatCode="0.00"/>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2" formatCode="0.00"/>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numFmt numFmtId="2" formatCode="0.00"/>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numFmt numFmtId="2" formatCode="0.00"/>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2" formatCode="0.00"/>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numFmt numFmtId="2" formatCode="0.00"/>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numFmt numFmtId="2" formatCode="0.00"/>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2" formatCode="0.00"/>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numFmt numFmtId="2" formatCode="0.00"/>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numFmt numFmtId="2" formatCode="0.00"/>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2" formatCode="0.00"/>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numFmt numFmtId="2" formatCode="0.00"/>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numFmt numFmtId="2" formatCode="0.00"/>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2" formatCode="0.00"/>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numFmt numFmtId="2" formatCode="0.00"/>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numFmt numFmtId="2" formatCode="0.00"/>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2" formatCode="0.00"/>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numFmt numFmtId="2" formatCode="0.00"/>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numFmt numFmtId="2" formatCode="0.00"/>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 formatCode="0"/>
    </dxf>
    <dxf>
      <border>
        <top style="medium">
          <color indexed="64"/>
        </top>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numFmt numFmtId="1" formatCode="0"/>
    </dxf>
    <dxf>
      <border>
        <top style="medium">
          <color indexed="64"/>
        </top>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numFmt numFmtId="1" formatCode="0"/>
    </dxf>
    <dxf>
      <border>
        <top style="medium">
          <color indexed="64"/>
        </top>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numFmt numFmtId="2" formatCode="0.00"/>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numFmt numFmtId="1" formatCode="0"/>
    </dxf>
    <dxf>
      <border>
        <top style="medium">
          <color indexed="64"/>
        </top>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numFmt numFmtId="1" formatCode="0"/>
    </dxf>
    <dxf>
      <border>
        <top style="medium">
          <color indexed="64"/>
        </top>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top style="medium">
          <color indexed="64"/>
        </top>
      </border>
    </dxf>
    <dxf>
      <numFmt numFmtId="2" formatCode="0.00"/>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numFmt numFmtId="1" formatCode="0"/>
    </dxf>
    <dxf>
      <border>
        <top style="medium">
          <color indexed="64"/>
        </top>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numFmt numFmtId="2" formatCode="0.00"/>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numFmt numFmtId="1" formatCode="0"/>
    </dxf>
    <dxf>
      <border>
        <top style="medium">
          <color indexed="64"/>
        </top>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top style="medium">
          <color indexed="64"/>
        </top>
      </border>
    </dxf>
    <dxf>
      <numFmt numFmtId="2" formatCode="0.00"/>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numFmt numFmtId="14" formatCode="0.00%"/>
    </dxf>
    <dxf>
      <numFmt numFmtId="1" formatCode="0"/>
    </dxf>
    <dxf>
      <border>
        <top style="medium">
          <color indexed="64"/>
        </top>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font>
        <b/>
        <color theme="1"/>
      </font>
      <border>
        <bottom style="thin">
          <color theme="5"/>
        </bottom>
        <vertical/>
        <horizontal/>
      </border>
    </dxf>
    <dxf>
      <font>
        <sz val="10"/>
        <color theme="1"/>
      </font>
      <fill>
        <patternFill>
          <bgColor theme="0" tint="-4.9989318521683403E-2"/>
        </patternFill>
      </fill>
      <border diagonalUp="0" diagonalDown="0">
        <left/>
        <right/>
        <top/>
        <bottom/>
        <vertical/>
        <horizontal/>
      </border>
    </dxf>
    <dxf>
      <font>
        <b/>
        <color theme="1"/>
      </font>
      <border>
        <bottom style="thin">
          <color theme="5"/>
        </bottom>
        <vertical/>
        <horizontal/>
      </border>
    </dxf>
    <dxf>
      <font>
        <sz val="10"/>
        <color theme="1"/>
      </font>
      <fill>
        <patternFill>
          <bgColor theme="0" tint="-4.9989318521683403E-2"/>
        </patternFill>
      </fill>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sz val="10"/>
        <color theme="1"/>
      </font>
      <fill>
        <patternFill>
          <bgColor theme="0" tint="-4.9989318521683403E-2"/>
        </patternFill>
      </fill>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sz val="10"/>
        <color theme="1"/>
      </font>
      <fill>
        <patternFill>
          <bgColor theme="0" tint="-4.9989318521683403E-2"/>
        </patternFill>
      </fill>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sz val="10"/>
        <color theme="1"/>
      </font>
      <fill>
        <patternFill>
          <bgColor theme="0" tint="-4.9989318521683403E-2"/>
        </patternFill>
      </fill>
      <border>
        <left style="thin">
          <color theme="5"/>
        </left>
        <right style="thin">
          <color theme="5"/>
        </right>
        <top style="thin">
          <color theme="5"/>
        </top>
        <bottom style="thin">
          <color theme="5"/>
        </bottom>
        <vertical/>
        <horizontal/>
      </border>
    </dxf>
  </dxfs>
  <tableStyles count="5" defaultTableStyle="TableStyleMedium2" defaultPivotStyle="PivotStyleLight16">
    <tableStyle name="My Style" pivot="0" table="0" count="10" xr9:uid="{C81A7EE8-54A9-4263-B010-2CB43FC282F5}">
      <tableStyleElement type="wholeTable" dxfId="609"/>
      <tableStyleElement type="headerRow" dxfId="608"/>
    </tableStyle>
    <tableStyle name="MY_Slicer_2" pivot="0" table="0" count="10" xr9:uid="{79D6C75C-CF0A-4E88-A8F3-3D8D048395A3}">
      <tableStyleElement type="wholeTable" dxfId="607"/>
      <tableStyleElement type="headerRow" dxfId="606"/>
    </tableStyle>
    <tableStyle name="My_SLICER_3" pivot="0" table="0" count="10" xr9:uid="{083D3FDF-9A8E-47B6-B27F-8F0581357049}">
      <tableStyleElement type="wholeTable" dxfId="605"/>
      <tableStyleElement type="headerRow" dxfId="604"/>
    </tableStyle>
    <tableStyle name="My_Slicer_5" pivot="0" table="0" count="10" xr9:uid="{1A6FCAE9-D091-40A6-B28C-087ECE58185B}">
      <tableStyleElement type="wholeTable" dxfId="603"/>
      <tableStyleElement type="headerRow" dxfId="602"/>
    </tableStyle>
    <tableStyle name="My_Slicer_5 2" pivot="0" table="0" count="10" xr9:uid="{1274FBD2-DBF2-4A6D-AC68-EBDD9328BC12}">
      <tableStyleElement type="wholeTable" dxfId="601"/>
      <tableStyleElement type="headerRow" dxfId="600"/>
    </tableStyle>
  </tableStyle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MY_Slicer_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My_SLICER_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My_Slicer_5">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_Slicer_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haredStrings" Target="sharedStrings.xml"/><Relationship Id="rId39" Type="http://schemas.openxmlformats.org/officeDocument/2006/relationships/customXml" Target="../customXml/item10.xml"/><Relationship Id="rId21" Type="http://schemas.microsoft.com/office/2007/relationships/slicerCache" Target="slicerCaches/slicerCache1.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microsoft.com/office/2017/10/relationships/person" Target="persons/person.xml"/><Relationship Id="rId36" Type="http://schemas.openxmlformats.org/officeDocument/2006/relationships/customXml" Target="../customXml/item7.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5.xml"/><Relationship Id="rId41"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Analysis.xlsx]Pivot Report!PivotTable13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layout>
            <c:manualLayout>
              <c:x val="-2.324576856728424E-2"/>
              <c:y val="-2.4414391033959183E-2"/>
            </c:manualLayout>
          </c:layout>
          <c:tx>
            <c:rich>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B101091-99DD-4B7F-8171-6691F552EC5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2253881387186961"/>
                  <c:h val="0.19828330305564368"/>
                </c:manualLayout>
              </c15:layout>
              <c15:dlblFieldTable/>
              <c15:showDataLabelsRange val="1"/>
            </c:ext>
          </c:extLst>
        </c:dLbl>
      </c:pivotFmt>
      <c:pivotFmt>
        <c:idx val="3"/>
        <c:spPr>
          <a:solidFill>
            <a:schemeClr val="accent1"/>
          </a:solidFill>
          <a:ln>
            <a:noFill/>
          </a:ln>
          <a:effectLst/>
        </c:spPr>
        <c:dLbl>
          <c:idx val="0"/>
          <c:tx>
            <c:rich>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CF92A6A7-DBF9-41FE-B618-A0ECDFAF754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8767153374850718"/>
                  <c:h val="0.24711208512356178"/>
                </c:manualLayout>
              </c15:layout>
              <c15:dlblFieldTable/>
              <c15:showDataLabelsRange val="1"/>
            </c:ext>
          </c:extLst>
        </c:dLbl>
      </c:pivotFmt>
    </c:pivotFmts>
    <c:plotArea>
      <c:layout>
        <c:manualLayout>
          <c:layoutTarget val="inner"/>
          <c:xMode val="edge"/>
          <c:yMode val="edge"/>
          <c:x val="6.1111111111111109E-2"/>
          <c:y val="0.10185185185185185"/>
          <c:w val="0.93888888888888888"/>
          <c:h val="0.89814814814814814"/>
        </c:manualLayout>
      </c:layout>
      <c:barChart>
        <c:barDir val="bar"/>
        <c:grouping val="clustered"/>
        <c:varyColors val="0"/>
        <c:ser>
          <c:idx val="0"/>
          <c:order val="0"/>
          <c:tx>
            <c:strRef>
              <c:f>'Pivot Report'!$Y$4:$Y$5</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38B2-40EE-A451-17E8AC0CAC40}"/>
              </c:ext>
            </c:extLst>
          </c:dPt>
          <c:dPt>
            <c:idx val="1"/>
            <c:invertIfNegative val="0"/>
            <c:bubble3D val="0"/>
            <c:extLst>
              <c:ext xmlns:c16="http://schemas.microsoft.com/office/drawing/2014/chart" uri="{C3380CC4-5D6E-409C-BE32-E72D297353CC}">
                <c16:uniqueId val="{00000004-38B2-40EE-A451-17E8AC0CAC40}"/>
              </c:ext>
            </c:extLst>
          </c:dPt>
          <c:dLbls>
            <c:dLbl>
              <c:idx val="0"/>
              <c:layout>
                <c:manualLayout>
                  <c:x val="-2.324576856728424E-2"/>
                  <c:y val="-2.4414391033959183E-2"/>
                </c:manualLayout>
              </c:layout>
              <c:tx>
                <c:rich>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B101091-99DD-4B7F-8171-6691F552EC5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2253881387186961"/>
                      <c:h val="0.19828330305564368"/>
                    </c:manualLayout>
                  </c15:layout>
                  <c15:dlblFieldTable/>
                  <c15:showDataLabelsRange val="1"/>
                </c:ext>
                <c:ext xmlns:c16="http://schemas.microsoft.com/office/drawing/2014/chart" uri="{C3380CC4-5D6E-409C-BE32-E72D297353CC}">
                  <c16:uniqueId val="{00000003-38B2-40EE-A451-17E8AC0CAC40}"/>
                </c:ext>
              </c:extLst>
            </c:dLbl>
            <c:dLbl>
              <c:idx val="1"/>
              <c:tx>
                <c:rich>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CF92A6A7-DBF9-41FE-B618-A0ECDFAF754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8767153374850718"/>
                      <c:h val="0.24711208512356178"/>
                    </c:manualLayout>
                  </c15:layout>
                  <c15:dlblFieldTable/>
                  <c15:showDataLabelsRange val="1"/>
                </c:ext>
                <c:ext xmlns:c16="http://schemas.microsoft.com/office/drawing/2014/chart" uri="{C3380CC4-5D6E-409C-BE32-E72D297353CC}">
                  <c16:uniqueId val="{00000004-38B2-40EE-A451-17E8AC0CAC40}"/>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'Pivot Report'!$Y$4:$Y$5</c:f>
              <c:strCache>
                <c:ptCount val="2"/>
                <c:pt idx="0">
                  <c:v>Admitted</c:v>
                </c:pt>
                <c:pt idx="1">
                  <c:v>Not Admitted</c:v>
                </c:pt>
              </c:strCache>
            </c:strRef>
          </c:cat>
          <c:val>
            <c:numRef>
              <c:f>'Pivot Report'!$Y$4:$Y$5</c:f>
              <c:numCache>
                <c:formatCode>0</c:formatCode>
                <c:ptCount val="2"/>
                <c:pt idx="0">
                  <c:v>252</c:v>
                </c:pt>
                <c:pt idx="1">
                  <c:v>254</c:v>
                </c:pt>
              </c:numCache>
            </c:numRef>
          </c:val>
          <c:extLst>
            <c:ext xmlns:c15="http://schemas.microsoft.com/office/drawing/2012/chart" uri="{02D57815-91ED-43cb-92C2-25804820EDAC}">
              <c15:datalabelsRange>
                <c15:f>'Pivot Report'!$Y$4:$Y$5</c15:f>
                <c15:dlblRangeCache>
                  <c:ptCount val="2"/>
                  <c:pt idx="0">
                    <c:v>49.80%</c:v>
                  </c:pt>
                  <c:pt idx="1">
                    <c:v>50.20%</c:v>
                  </c:pt>
                </c15:dlblRangeCache>
              </c15:datalabelsRange>
            </c:ext>
            <c:ext xmlns:c16="http://schemas.microsoft.com/office/drawing/2014/chart" uri="{C3380CC4-5D6E-409C-BE32-E72D297353CC}">
              <c16:uniqueId val="{00000000-38B2-40EE-A451-17E8AC0CAC40}"/>
            </c:ext>
          </c:extLst>
        </c:ser>
        <c:ser>
          <c:idx val="1"/>
          <c:order val="1"/>
          <c:tx>
            <c:strRef>
              <c:f>'Pivot Report'!$Y$4:$Y$5</c:f>
              <c:strCache>
                <c:ptCount val="1"/>
                <c:pt idx="0">
                  <c:v>Count of Patient Admission Flag2</c:v>
                </c:pt>
              </c:strCache>
            </c:strRef>
          </c:tx>
          <c:spPr>
            <a:solidFill>
              <a:schemeClr val="accent2"/>
            </a:solidFill>
            <a:ln>
              <a:noFill/>
            </a:ln>
            <a:effectLst/>
          </c:spPr>
          <c:invertIfNegative val="0"/>
          <c:cat>
            <c:strRef>
              <c:f>'Pivot Report'!$Y$4:$Y$5</c:f>
              <c:strCache>
                <c:ptCount val="2"/>
                <c:pt idx="0">
                  <c:v>Admitted</c:v>
                </c:pt>
                <c:pt idx="1">
                  <c:v>Not Admitted</c:v>
                </c:pt>
              </c:strCache>
            </c:strRef>
          </c:cat>
          <c:val>
            <c:numRef>
              <c:f>'Pivot Report'!$Y$4:$Y$5</c:f>
              <c:numCache>
                <c:formatCode>0.00%</c:formatCode>
                <c:ptCount val="2"/>
                <c:pt idx="0">
                  <c:v>0.49802371541501977</c:v>
                </c:pt>
                <c:pt idx="1">
                  <c:v>0.50197628458498023</c:v>
                </c:pt>
              </c:numCache>
            </c:numRef>
          </c:val>
          <c:extLst>
            <c:ext xmlns:c16="http://schemas.microsoft.com/office/drawing/2014/chart" uri="{C3380CC4-5D6E-409C-BE32-E72D297353CC}">
              <c16:uniqueId val="{00000001-38B2-40EE-A451-17E8AC0CAC40}"/>
            </c:ext>
          </c:extLst>
        </c:ser>
        <c:dLbls>
          <c:showLegendKey val="0"/>
          <c:showVal val="0"/>
          <c:showCatName val="0"/>
          <c:showSerName val="0"/>
          <c:showPercent val="0"/>
          <c:showBubbleSize val="0"/>
        </c:dLbls>
        <c:gapWidth val="0"/>
        <c:axId val="506183808"/>
        <c:axId val="506182848"/>
      </c:barChart>
      <c:catAx>
        <c:axId val="506183808"/>
        <c:scaling>
          <c:orientation val="minMax"/>
        </c:scaling>
        <c:delete val="1"/>
        <c:axPos val="l"/>
        <c:numFmt formatCode="General" sourceLinked="1"/>
        <c:majorTickMark val="none"/>
        <c:minorTickMark val="none"/>
        <c:tickLblPos val="nextTo"/>
        <c:crossAx val="506182848"/>
        <c:crosses val="autoZero"/>
        <c:auto val="1"/>
        <c:lblAlgn val="ctr"/>
        <c:lblOffset val="100"/>
        <c:noMultiLvlLbl val="0"/>
      </c:catAx>
      <c:valAx>
        <c:axId val="506182848"/>
        <c:scaling>
          <c:orientation val="minMax"/>
        </c:scaling>
        <c:delete val="1"/>
        <c:axPos val="b"/>
        <c:numFmt formatCode="0" sourceLinked="1"/>
        <c:majorTickMark val="none"/>
        <c:minorTickMark val="none"/>
        <c:tickLblPos val="nextTo"/>
        <c:crossAx val="50618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Analysis.xlsx]Pivot Report!PivotTable4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151515151515152E-2"/>
          <c:y val="0"/>
          <c:w val="0.98484848484848486"/>
          <c:h val="1"/>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strRef>
              <c:f>'Pivot Report'!$D$5:$D$35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Report'!$E$5:$E$35</c:f>
              <c:numCache>
                <c:formatCode>General</c:formatCode>
                <c:ptCount val="30"/>
                <c:pt idx="0">
                  <c:v>26</c:v>
                </c:pt>
                <c:pt idx="1">
                  <c:v>17</c:v>
                </c:pt>
                <c:pt idx="2">
                  <c:v>19</c:v>
                </c:pt>
                <c:pt idx="3">
                  <c:v>17</c:v>
                </c:pt>
                <c:pt idx="4">
                  <c:v>18</c:v>
                </c:pt>
                <c:pt idx="5">
                  <c:v>17</c:v>
                </c:pt>
                <c:pt idx="6">
                  <c:v>17</c:v>
                </c:pt>
                <c:pt idx="7">
                  <c:v>19</c:v>
                </c:pt>
                <c:pt idx="8">
                  <c:v>19</c:v>
                </c:pt>
                <c:pt idx="9">
                  <c:v>14</c:v>
                </c:pt>
                <c:pt idx="10">
                  <c:v>17</c:v>
                </c:pt>
                <c:pt idx="11">
                  <c:v>20</c:v>
                </c:pt>
                <c:pt idx="12">
                  <c:v>13</c:v>
                </c:pt>
                <c:pt idx="13">
                  <c:v>14</c:v>
                </c:pt>
                <c:pt idx="14">
                  <c:v>15</c:v>
                </c:pt>
                <c:pt idx="15">
                  <c:v>13</c:v>
                </c:pt>
                <c:pt idx="16">
                  <c:v>15</c:v>
                </c:pt>
                <c:pt idx="17">
                  <c:v>17</c:v>
                </c:pt>
                <c:pt idx="18">
                  <c:v>10</c:v>
                </c:pt>
                <c:pt idx="19">
                  <c:v>13</c:v>
                </c:pt>
                <c:pt idx="20">
                  <c:v>17</c:v>
                </c:pt>
                <c:pt idx="21">
                  <c:v>26</c:v>
                </c:pt>
                <c:pt idx="22">
                  <c:v>8</c:v>
                </c:pt>
                <c:pt idx="23">
                  <c:v>17</c:v>
                </c:pt>
                <c:pt idx="24">
                  <c:v>18</c:v>
                </c:pt>
                <c:pt idx="25">
                  <c:v>19</c:v>
                </c:pt>
                <c:pt idx="26">
                  <c:v>20</c:v>
                </c:pt>
                <c:pt idx="27">
                  <c:v>23</c:v>
                </c:pt>
                <c:pt idx="28">
                  <c:v>16</c:v>
                </c:pt>
                <c:pt idx="29">
                  <c:v>12</c:v>
                </c:pt>
              </c:numCache>
            </c:numRef>
          </c:val>
          <c:extLst>
            <c:ext xmlns:c16="http://schemas.microsoft.com/office/drawing/2014/chart" uri="{C3380CC4-5D6E-409C-BE32-E72D297353CC}">
              <c16:uniqueId val="{00000002-6427-4C2B-851B-BC1124F7931D}"/>
            </c:ext>
          </c:extLst>
        </c:ser>
        <c:dLbls>
          <c:showLegendKey val="0"/>
          <c:showVal val="0"/>
          <c:showCatName val="0"/>
          <c:showSerName val="0"/>
          <c:showPercent val="0"/>
          <c:showBubbleSize val="0"/>
        </c:dLbls>
        <c:axId val="401404144"/>
        <c:axId val="401420944"/>
      </c:areaChart>
      <c:catAx>
        <c:axId val="401404144"/>
        <c:scaling>
          <c:orientation val="minMax"/>
        </c:scaling>
        <c:delete val="1"/>
        <c:axPos val="b"/>
        <c:numFmt formatCode="General" sourceLinked="1"/>
        <c:majorTickMark val="out"/>
        <c:minorTickMark val="none"/>
        <c:tickLblPos val="nextTo"/>
        <c:crossAx val="401420944"/>
        <c:crosses val="autoZero"/>
        <c:auto val="1"/>
        <c:lblAlgn val="ctr"/>
        <c:lblOffset val="100"/>
        <c:noMultiLvlLbl val="0"/>
      </c:catAx>
      <c:valAx>
        <c:axId val="401420944"/>
        <c:scaling>
          <c:orientation val="minMax"/>
        </c:scaling>
        <c:delete val="1"/>
        <c:axPos val="l"/>
        <c:numFmt formatCode="General" sourceLinked="1"/>
        <c:majorTickMark val="none"/>
        <c:minorTickMark val="none"/>
        <c:tickLblPos val="nextTo"/>
        <c:crossAx val="401404144"/>
        <c:crosses val="autoZero"/>
        <c:crossBetween val="midCat"/>
      </c:valAx>
      <c:spPr>
        <a:noFill/>
        <a:ln w="25400">
          <a:noFill/>
        </a:ln>
        <a:effectLst/>
      </c:spPr>
    </c:plotArea>
    <c:plotVisOnly val="1"/>
    <c:dispBlanksAs val="zero"/>
    <c:showDLblsOverMax val="0"/>
    <c:extLst/>
  </c:chart>
  <c:spPr>
    <a:noFill/>
    <a:ln w="12700"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Analysis.xlsx]Pivot Report!PivotTable5</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112706952686642E-3"/>
          <c:y val="0.29203031864007656"/>
          <c:w val="0.99828872930473134"/>
          <c:h val="0.70796968135992344"/>
        </c:manualLayout>
      </c:layout>
      <c:areaChart>
        <c:grouping val="standard"/>
        <c:varyColors val="0"/>
        <c:ser>
          <c:idx val="0"/>
          <c:order val="0"/>
          <c:tx>
            <c:strRef>
              <c:f>'Pivot Report'!$J$4</c:f>
              <c:strCache>
                <c:ptCount val="1"/>
                <c:pt idx="0">
                  <c:v>Total</c:v>
                </c:pt>
              </c:strCache>
            </c:strRef>
          </c:tx>
          <c:spPr>
            <a:solidFill>
              <a:schemeClr val="accent1"/>
            </a:solidFill>
            <a:ln w="25400">
              <a:noFill/>
            </a:ln>
            <a:effectLst/>
          </c:spPr>
          <c:cat>
            <c:strRef>
              <c:f>'Pivot Report'!$I$5:$I$35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Report'!$J$5:$J$35</c:f>
              <c:numCache>
                <c:formatCode>0.00</c:formatCode>
                <c:ptCount val="30"/>
                <c:pt idx="0">
                  <c:v>34.884615384615387</c:v>
                </c:pt>
                <c:pt idx="1">
                  <c:v>34.941176470588232</c:v>
                </c:pt>
                <c:pt idx="2">
                  <c:v>32.736842105263158</c:v>
                </c:pt>
                <c:pt idx="3">
                  <c:v>34.411764705882355</c:v>
                </c:pt>
                <c:pt idx="4">
                  <c:v>34.388888888888886</c:v>
                </c:pt>
                <c:pt idx="5">
                  <c:v>33.294117647058826</c:v>
                </c:pt>
                <c:pt idx="6">
                  <c:v>35</c:v>
                </c:pt>
                <c:pt idx="7">
                  <c:v>36.736842105263158</c:v>
                </c:pt>
                <c:pt idx="8">
                  <c:v>37.368421052631582</c:v>
                </c:pt>
                <c:pt idx="9">
                  <c:v>31.428571428571427</c:v>
                </c:pt>
                <c:pt idx="10">
                  <c:v>45.470588235294116</c:v>
                </c:pt>
                <c:pt idx="11">
                  <c:v>32.549999999999997</c:v>
                </c:pt>
                <c:pt idx="12">
                  <c:v>39.615384615384613</c:v>
                </c:pt>
                <c:pt idx="13">
                  <c:v>36</c:v>
                </c:pt>
                <c:pt idx="14">
                  <c:v>31.6</c:v>
                </c:pt>
                <c:pt idx="15">
                  <c:v>33.846153846153847</c:v>
                </c:pt>
                <c:pt idx="16">
                  <c:v>31.8</c:v>
                </c:pt>
                <c:pt idx="17">
                  <c:v>36</c:v>
                </c:pt>
                <c:pt idx="18">
                  <c:v>29.8</c:v>
                </c:pt>
                <c:pt idx="19">
                  <c:v>41.307692307692307</c:v>
                </c:pt>
                <c:pt idx="20">
                  <c:v>29.764705882352942</c:v>
                </c:pt>
                <c:pt idx="21">
                  <c:v>37.92307692307692</c:v>
                </c:pt>
                <c:pt idx="22">
                  <c:v>38.625</c:v>
                </c:pt>
                <c:pt idx="23">
                  <c:v>41.470588235294116</c:v>
                </c:pt>
                <c:pt idx="24">
                  <c:v>39.5</c:v>
                </c:pt>
                <c:pt idx="25">
                  <c:v>29.736842105263158</c:v>
                </c:pt>
                <c:pt idx="26">
                  <c:v>37.75</c:v>
                </c:pt>
                <c:pt idx="27">
                  <c:v>37.782608695652172</c:v>
                </c:pt>
                <c:pt idx="28">
                  <c:v>34.1875</c:v>
                </c:pt>
                <c:pt idx="29">
                  <c:v>36.166666666666664</c:v>
                </c:pt>
              </c:numCache>
            </c:numRef>
          </c:val>
          <c:extLst>
            <c:ext xmlns:c16="http://schemas.microsoft.com/office/drawing/2014/chart" uri="{C3380CC4-5D6E-409C-BE32-E72D297353CC}">
              <c16:uniqueId val="{00000002-663B-47BE-8C35-C77E2B4CF0E9}"/>
            </c:ext>
          </c:extLst>
        </c:ser>
        <c:dLbls>
          <c:showLegendKey val="0"/>
          <c:showVal val="0"/>
          <c:showCatName val="0"/>
          <c:showSerName val="0"/>
          <c:showPercent val="0"/>
          <c:showBubbleSize val="0"/>
        </c:dLbls>
        <c:axId val="458988240"/>
        <c:axId val="458994000"/>
      </c:areaChart>
      <c:catAx>
        <c:axId val="458988240"/>
        <c:scaling>
          <c:orientation val="minMax"/>
        </c:scaling>
        <c:delete val="1"/>
        <c:axPos val="b"/>
        <c:numFmt formatCode="General" sourceLinked="1"/>
        <c:majorTickMark val="out"/>
        <c:minorTickMark val="none"/>
        <c:tickLblPos val="nextTo"/>
        <c:crossAx val="458994000"/>
        <c:crosses val="autoZero"/>
        <c:auto val="1"/>
        <c:lblAlgn val="ctr"/>
        <c:lblOffset val="100"/>
        <c:noMultiLvlLbl val="0"/>
      </c:catAx>
      <c:valAx>
        <c:axId val="458994000"/>
        <c:scaling>
          <c:orientation val="minMax"/>
        </c:scaling>
        <c:delete val="1"/>
        <c:axPos val="l"/>
        <c:numFmt formatCode="0.00" sourceLinked="1"/>
        <c:majorTickMark val="none"/>
        <c:minorTickMark val="none"/>
        <c:tickLblPos val="nextTo"/>
        <c:crossAx val="458988240"/>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Analysis.xlsx]Pivot Report!PivotTable6</c:name>
    <c:fmtId val="44"/>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0454002455869361"/>
          <c:w val="1"/>
          <c:h val="0.79545997544130642"/>
        </c:manualLayout>
      </c:layout>
      <c:areaChart>
        <c:grouping val="standard"/>
        <c:varyColors val="0"/>
        <c:ser>
          <c:idx val="0"/>
          <c:order val="0"/>
          <c:tx>
            <c:strRef>
              <c:f>'Pivot Report'!$N$4</c:f>
              <c:strCache>
                <c:ptCount val="1"/>
                <c:pt idx="0">
                  <c:v>Total</c:v>
                </c:pt>
              </c:strCache>
            </c:strRef>
          </c:tx>
          <c:spPr>
            <a:solidFill>
              <a:schemeClr val="accent1"/>
            </a:solidFill>
            <a:ln w="25400">
              <a:noFill/>
            </a:ln>
            <a:effectLst/>
          </c:spPr>
          <c:cat>
            <c:strRef>
              <c:f>'Pivot Report'!$M$5:$M$35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Report'!$N$5:$N$35</c:f>
              <c:numCache>
                <c:formatCode>0.00</c:formatCode>
                <c:ptCount val="30"/>
                <c:pt idx="0">
                  <c:v>4.8</c:v>
                </c:pt>
                <c:pt idx="1">
                  <c:v>5.333333333333333</c:v>
                </c:pt>
                <c:pt idx="2">
                  <c:v>6.666666666666667</c:v>
                </c:pt>
                <c:pt idx="3">
                  <c:v>4.5555555555555554</c:v>
                </c:pt>
                <c:pt idx="4">
                  <c:v>4.333333333333333</c:v>
                </c:pt>
                <c:pt idx="5">
                  <c:v>7.333333333333333</c:v>
                </c:pt>
                <c:pt idx="6">
                  <c:v>5.25</c:v>
                </c:pt>
                <c:pt idx="7">
                  <c:v>6.333333333333333</c:v>
                </c:pt>
                <c:pt idx="8">
                  <c:v>5.7142857142857144</c:v>
                </c:pt>
                <c:pt idx="9">
                  <c:v>5</c:v>
                </c:pt>
                <c:pt idx="10">
                  <c:v>6.166666666666667</c:v>
                </c:pt>
                <c:pt idx="11">
                  <c:v>3</c:v>
                </c:pt>
                <c:pt idx="12">
                  <c:v>4.5</c:v>
                </c:pt>
                <c:pt idx="13">
                  <c:v>4.666666666666667</c:v>
                </c:pt>
                <c:pt idx="14">
                  <c:v>9</c:v>
                </c:pt>
                <c:pt idx="15">
                  <c:v>1.5</c:v>
                </c:pt>
                <c:pt idx="16">
                  <c:v>6.8</c:v>
                </c:pt>
                <c:pt idx="17">
                  <c:v>4.625</c:v>
                </c:pt>
                <c:pt idx="18">
                  <c:v>4.333333333333333</c:v>
                </c:pt>
                <c:pt idx="19">
                  <c:v>1.3333333333333333</c:v>
                </c:pt>
                <c:pt idx="20">
                  <c:v>5</c:v>
                </c:pt>
                <c:pt idx="21">
                  <c:v>3.1666666666666665</c:v>
                </c:pt>
                <c:pt idx="22">
                  <c:v>7.5</c:v>
                </c:pt>
                <c:pt idx="23">
                  <c:v>4.2</c:v>
                </c:pt>
                <c:pt idx="24">
                  <c:v>4.625</c:v>
                </c:pt>
                <c:pt idx="25">
                  <c:v>9.6666666666666661</c:v>
                </c:pt>
                <c:pt idx="26">
                  <c:v>6.125</c:v>
                </c:pt>
                <c:pt idx="27">
                  <c:v>5.5555555555555554</c:v>
                </c:pt>
                <c:pt idx="28">
                  <c:v>6.333333333333333</c:v>
                </c:pt>
                <c:pt idx="29">
                  <c:v>5.333333333333333</c:v>
                </c:pt>
              </c:numCache>
            </c:numRef>
          </c:val>
          <c:extLst>
            <c:ext xmlns:c16="http://schemas.microsoft.com/office/drawing/2014/chart" uri="{C3380CC4-5D6E-409C-BE32-E72D297353CC}">
              <c16:uniqueId val="{00000002-AC67-4458-BB93-DE08CA774632}"/>
            </c:ext>
          </c:extLst>
        </c:ser>
        <c:dLbls>
          <c:showLegendKey val="0"/>
          <c:showVal val="0"/>
          <c:showCatName val="0"/>
          <c:showSerName val="0"/>
          <c:showPercent val="0"/>
          <c:showBubbleSize val="0"/>
        </c:dLbls>
        <c:axId val="518054624"/>
        <c:axId val="518055584"/>
      </c:areaChart>
      <c:catAx>
        <c:axId val="518054624"/>
        <c:scaling>
          <c:orientation val="minMax"/>
        </c:scaling>
        <c:delete val="1"/>
        <c:axPos val="b"/>
        <c:numFmt formatCode="General" sourceLinked="1"/>
        <c:majorTickMark val="out"/>
        <c:minorTickMark val="none"/>
        <c:tickLblPos val="nextTo"/>
        <c:crossAx val="518055584"/>
        <c:crosses val="autoZero"/>
        <c:auto val="1"/>
        <c:lblAlgn val="ctr"/>
        <c:lblOffset val="100"/>
        <c:noMultiLvlLbl val="0"/>
      </c:catAx>
      <c:valAx>
        <c:axId val="518055584"/>
        <c:scaling>
          <c:orientation val="minMax"/>
        </c:scaling>
        <c:delete val="1"/>
        <c:axPos val="l"/>
        <c:numFmt formatCode="0.00" sourceLinked="1"/>
        <c:majorTickMark val="none"/>
        <c:minorTickMark val="none"/>
        <c:tickLblPos val="nextTo"/>
        <c:crossAx val="5180546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Analysis.xlsx]Pivot Report!PivotTable8</c:name>
    <c:fmtId val="1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050">
                <a:solidFill>
                  <a:schemeClr val="tx1"/>
                </a:solidFill>
              </a:rPr>
              <a:t>No.</a:t>
            </a:r>
            <a:r>
              <a:rPr lang="en-US" sz="1050" baseline="0">
                <a:solidFill>
                  <a:schemeClr val="tx1"/>
                </a:solidFill>
              </a:rPr>
              <a:t> of patient by Age Group</a:t>
            </a:r>
            <a:endParaRPr lang="en-US" sz="1050">
              <a:solidFill>
                <a:schemeClr val="tx1"/>
              </a:solidFill>
            </a:endParaRPr>
          </a:p>
        </c:rich>
      </c:tx>
      <c:layout>
        <c:manualLayout>
          <c:xMode val="edge"/>
          <c:yMode val="edge"/>
          <c:x val="0.32821234557480883"/>
          <c:y val="0.8561441722201115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071409743630882E-2"/>
          <c:y val="9.8830095434884579E-2"/>
          <c:w val="0.96056435170087939"/>
          <c:h val="0.65807697160282508"/>
        </c:manualLayout>
      </c:layout>
      <c:barChart>
        <c:barDir val="col"/>
        <c:grouping val="clustered"/>
        <c:varyColors val="0"/>
        <c:ser>
          <c:idx val="0"/>
          <c:order val="0"/>
          <c:tx>
            <c:strRef>
              <c:f>'Pivot Report'!$B$54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Report'!$A$55:$A$63</c:f>
              <c:strCache>
                <c:ptCount val="8"/>
                <c:pt idx="0">
                  <c:v>0-9</c:v>
                </c:pt>
                <c:pt idx="1">
                  <c:v>10-19</c:v>
                </c:pt>
                <c:pt idx="2">
                  <c:v>20-29</c:v>
                </c:pt>
                <c:pt idx="3">
                  <c:v>30-39</c:v>
                </c:pt>
                <c:pt idx="4">
                  <c:v>40-49</c:v>
                </c:pt>
                <c:pt idx="5">
                  <c:v>50-59</c:v>
                </c:pt>
                <c:pt idx="6">
                  <c:v>60-69</c:v>
                </c:pt>
                <c:pt idx="7">
                  <c:v>70-79</c:v>
                </c:pt>
              </c:strCache>
            </c:strRef>
          </c:cat>
          <c:val>
            <c:numRef>
              <c:f>'Pivot Report'!$B$55:$B$63</c:f>
              <c:numCache>
                <c:formatCode>0</c:formatCode>
                <c:ptCount val="8"/>
                <c:pt idx="0">
                  <c:v>54</c:v>
                </c:pt>
                <c:pt idx="1">
                  <c:v>72</c:v>
                </c:pt>
                <c:pt idx="2">
                  <c:v>75</c:v>
                </c:pt>
                <c:pt idx="3">
                  <c:v>62</c:v>
                </c:pt>
                <c:pt idx="4">
                  <c:v>63</c:v>
                </c:pt>
                <c:pt idx="5">
                  <c:v>49</c:v>
                </c:pt>
                <c:pt idx="6">
                  <c:v>74</c:v>
                </c:pt>
                <c:pt idx="7">
                  <c:v>57</c:v>
                </c:pt>
              </c:numCache>
            </c:numRef>
          </c:val>
          <c:extLst>
            <c:ext xmlns:c16="http://schemas.microsoft.com/office/drawing/2014/chart" uri="{C3380CC4-5D6E-409C-BE32-E72D297353CC}">
              <c16:uniqueId val="{00000002-70FD-4D5B-AFD9-48E3D1A9E17B}"/>
            </c:ext>
          </c:extLst>
        </c:ser>
        <c:dLbls>
          <c:dLblPos val="outEnd"/>
          <c:showLegendKey val="0"/>
          <c:showVal val="1"/>
          <c:showCatName val="0"/>
          <c:showSerName val="0"/>
          <c:showPercent val="0"/>
          <c:showBubbleSize val="0"/>
        </c:dLbls>
        <c:gapWidth val="219"/>
        <c:overlap val="-27"/>
        <c:axId val="1597583408"/>
        <c:axId val="1597578608"/>
      </c:barChart>
      <c:catAx>
        <c:axId val="159758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crossAx val="1597578608"/>
        <c:crosses val="autoZero"/>
        <c:auto val="1"/>
        <c:lblAlgn val="ctr"/>
        <c:lblOffset val="100"/>
        <c:noMultiLvlLbl val="0"/>
      </c:catAx>
      <c:valAx>
        <c:axId val="1597578608"/>
        <c:scaling>
          <c:orientation val="minMax"/>
        </c:scaling>
        <c:delete val="1"/>
        <c:axPos val="l"/>
        <c:numFmt formatCode="0" sourceLinked="1"/>
        <c:majorTickMark val="none"/>
        <c:minorTickMark val="none"/>
        <c:tickLblPos val="nextTo"/>
        <c:crossAx val="1597583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Analysis.xlsx]Pivot Report!PivotTable9</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19610312432286314"/>
              <c:y val="-4.25486869616755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16667167256289731"/>
              <c:y val="4.96435795439628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4728437280768564"/>
          <c:y val="0.14328040885708046"/>
          <c:w val="0.7373003988269039"/>
          <c:h val="0.8021479422736798"/>
        </c:manualLayout>
      </c:layout>
      <c:pieChart>
        <c:varyColors val="1"/>
        <c:ser>
          <c:idx val="0"/>
          <c:order val="0"/>
          <c:tx>
            <c:strRef>
              <c:f>'Pivot Report'!$B$66</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6768-47E9-A3FF-6DB7EA3664DD}"/>
              </c:ext>
            </c:extLst>
          </c:dPt>
          <c:dPt>
            <c:idx val="1"/>
            <c:bubble3D val="0"/>
            <c:spPr>
              <a:solidFill>
                <a:schemeClr val="accent2"/>
              </a:solidFill>
              <a:ln>
                <a:noFill/>
              </a:ln>
              <a:effectLst/>
            </c:spPr>
            <c:extLst>
              <c:ext xmlns:c16="http://schemas.microsoft.com/office/drawing/2014/chart" uri="{C3380CC4-5D6E-409C-BE32-E72D297353CC}">
                <c16:uniqueId val="{00000003-6768-47E9-A3FF-6DB7EA3664DD}"/>
              </c:ext>
            </c:extLst>
          </c:dPt>
          <c:dLbls>
            <c:dLbl>
              <c:idx val="0"/>
              <c:layout>
                <c:manualLayout>
                  <c:x val="-0.19610312432286314"/>
                  <c:y val="-4.254868696167551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768-47E9-A3FF-6DB7EA3664DD}"/>
                </c:ext>
              </c:extLst>
            </c:dLbl>
            <c:dLbl>
              <c:idx val="1"/>
              <c:layout>
                <c:manualLayout>
                  <c:x val="0.16667167256289731"/>
                  <c:y val="4.964357954396280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768-47E9-A3FF-6DB7EA3664D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Report'!$A$67:$A$69</c:f>
              <c:strCache>
                <c:ptCount val="2"/>
                <c:pt idx="0">
                  <c:v>Delay</c:v>
                </c:pt>
                <c:pt idx="1">
                  <c:v>Ontime</c:v>
                </c:pt>
              </c:strCache>
            </c:strRef>
          </c:cat>
          <c:val>
            <c:numRef>
              <c:f>'Pivot Report'!$B$67:$B$69</c:f>
              <c:numCache>
                <c:formatCode>0</c:formatCode>
                <c:ptCount val="2"/>
                <c:pt idx="0">
                  <c:v>311</c:v>
                </c:pt>
                <c:pt idx="1">
                  <c:v>195</c:v>
                </c:pt>
              </c:numCache>
            </c:numRef>
          </c:val>
          <c:extLst>
            <c:ext xmlns:c16="http://schemas.microsoft.com/office/drawing/2014/chart" uri="{C3380CC4-5D6E-409C-BE32-E72D297353CC}">
              <c16:uniqueId val="{00000006-44C1-4A6A-9574-DBC0C6FC6B9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9512590186584056"/>
          <c:y val="3.6557605712558817E-2"/>
          <c:w val="0.58757885014810629"/>
          <c:h val="0.117677190944419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Analysis.xlsx]Pivot Report!PivotTable10</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noFill/>
          </a:ln>
          <a:effectLst/>
        </c:spPr>
      </c:pivotFmt>
      <c:pivotFmt>
        <c:idx val="6"/>
        <c:spPr>
          <a:solidFill>
            <a:schemeClr val="accent1"/>
          </a:solidFill>
          <a:ln w="19050">
            <a:noFill/>
          </a:ln>
          <a:effectLst/>
        </c:spPr>
      </c:pivotFmt>
    </c:pivotFmts>
    <c:plotArea>
      <c:layout>
        <c:manualLayout>
          <c:layoutTarget val="inner"/>
          <c:xMode val="edge"/>
          <c:yMode val="edge"/>
          <c:x val="9.2589879529839797E-2"/>
          <c:y val="0.15025879265091863"/>
          <c:w val="0.7121275939847328"/>
          <c:h val="0.73485511811023607"/>
        </c:manualLayout>
      </c:layout>
      <c:doughnutChart>
        <c:varyColors val="1"/>
        <c:ser>
          <c:idx val="0"/>
          <c:order val="0"/>
          <c:tx>
            <c:strRef>
              <c:f>'Pivot Report'!$B$73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0BA2-479E-8A52-B4B4C2693A40}"/>
              </c:ext>
            </c:extLst>
          </c:dPt>
          <c:dPt>
            <c:idx val="1"/>
            <c:bubble3D val="0"/>
            <c:spPr>
              <a:solidFill>
                <a:schemeClr val="accent2"/>
              </a:solidFill>
              <a:ln w="19050">
                <a:noFill/>
              </a:ln>
              <a:effectLst/>
            </c:spPr>
            <c:extLst>
              <c:ext xmlns:c16="http://schemas.microsoft.com/office/drawing/2014/chart" uri="{C3380CC4-5D6E-409C-BE32-E72D297353CC}">
                <c16:uniqueId val="{00000003-0BA2-479E-8A52-B4B4C2693A4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Report'!$A$74:$A$76</c:f>
              <c:strCache>
                <c:ptCount val="2"/>
                <c:pt idx="0">
                  <c:v>Female</c:v>
                </c:pt>
                <c:pt idx="1">
                  <c:v>Male</c:v>
                </c:pt>
              </c:strCache>
            </c:strRef>
          </c:cat>
          <c:val>
            <c:numRef>
              <c:f>'Pivot Report'!$B$74:$B$76</c:f>
              <c:numCache>
                <c:formatCode>0</c:formatCode>
                <c:ptCount val="2"/>
                <c:pt idx="0">
                  <c:v>233</c:v>
                </c:pt>
                <c:pt idx="1">
                  <c:v>273</c:v>
                </c:pt>
              </c:numCache>
            </c:numRef>
          </c:val>
          <c:extLst>
            <c:ext xmlns:c16="http://schemas.microsoft.com/office/drawing/2014/chart" uri="{C3380CC4-5D6E-409C-BE32-E72D297353CC}">
              <c16:uniqueId val="{00000006-1D69-4B6F-A9DE-39F26FA776CC}"/>
            </c:ext>
          </c:extLst>
        </c:ser>
        <c:dLbls>
          <c:showLegendKey val="0"/>
          <c:showVal val="0"/>
          <c:showCatName val="0"/>
          <c:showSerName val="0"/>
          <c:showPercent val="1"/>
          <c:showBubbleSize val="0"/>
          <c:showLeaderLines val="1"/>
        </c:dLbls>
        <c:firstSliceAng val="0"/>
        <c:holeSize val="45"/>
      </c:doughnutChart>
      <c:spPr>
        <a:noFill/>
        <a:ln>
          <a:noFill/>
        </a:ln>
        <a:effectLst/>
      </c:spPr>
    </c:plotArea>
    <c:legend>
      <c:legendPos val="r"/>
      <c:layout>
        <c:manualLayout>
          <c:xMode val="edge"/>
          <c:yMode val="edge"/>
          <c:x val="0.12843537331913044"/>
          <c:y val="5.2781627296587925E-2"/>
          <c:w val="0.56518239484608213"/>
          <c:h val="0.143676881497833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Analysis.xlsx]Pivot Report!PivotTable11</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64258033989645"/>
          <c:y val="4.4585987261146494E-2"/>
          <c:w val="0.71978023534778368"/>
          <c:h val="0.95541401273885362"/>
        </c:manualLayout>
      </c:layout>
      <c:barChart>
        <c:barDir val="bar"/>
        <c:grouping val="clustered"/>
        <c:varyColors val="0"/>
        <c:ser>
          <c:idx val="0"/>
          <c:order val="0"/>
          <c:tx>
            <c:strRef>
              <c:f>'Pivot Report'!$B$81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Report'!$A$82:$A$90</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 Report'!$B$82:$B$90</c:f>
              <c:numCache>
                <c:formatCode>0</c:formatCode>
                <c:ptCount val="8"/>
                <c:pt idx="0">
                  <c:v>2</c:v>
                </c:pt>
                <c:pt idx="1">
                  <c:v>11</c:v>
                </c:pt>
                <c:pt idx="2">
                  <c:v>12</c:v>
                </c:pt>
                <c:pt idx="3">
                  <c:v>15</c:v>
                </c:pt>
                <c:pt idx="4">
                  <c:v>18</c:v>
                </c:pt>
                <c:pt idx="5">
                  <c:v>60</c:v>
                </c:pt>
                <c:pt idx="6">
                  <c:v>83</c:v>
                </c:pt>
                <c:pt idx="7">
                  <c:v>305</c:v>
                </c:pt>
              </c:numCache>
            </c:numRef>
          </c:val>
          <c:extLst>
            <c:ext xmlns:c16="http://schemas.microsoft.com/office/drawing/2014/chart" uri="{C3380CC4-5D6E-409C-BE32-E72D297353CC}">
              <c16:uniqueId val="{00000002-7455-4454-8658-6C44C48FD858}"/>
            </c:ext>
          </c:extLst>
        </c:ser>
        <c:dLbls>
          <c:dLblPos val="outEnd"/>
          <c:showLegendKey val="0"/>
          <c:showVal val="1"/>
          <c:showCatName val="0"/>
          <c:showSerName val="0"/>
          <c:showPercent val="0"/>
          <c:showBubbleSize val="0"/>
        </c:dLbls>
        <c:gapWidth val="88"/>
        <c:axId val="465226352"/>
        <c:axId val="465226832"/>
      </c:barChart>
      <c:catAx>
        <c:axId val="465226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crossAx val="465226832"/>
        <c:crosses val="autoZero"/>
        <c:auto val="1"/>
        <c:lblAlgn val="ctr"/>
        <c:lblOffset val="100"/>
        <c:noMultiLvlLbl val="0"/>
      </c:catAx>
      <c:valAx>
        <c:axId val="465226832"/>
        <c:scaling>
          <c:orientation val="minMax"/>
        </c:scaling>
        <c:delete val="1"/>
        <c:axPos val="b"/>
        <c:numFmt formatCode="0" sourceLinked="1"/>
        <c:majorTickMark val="none"/>
        <c:minorTickMark val="none"/>
        <c:tickLblPos val="nextTo"/>
        <c:crossAx val="465226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Analysis.xlsx]Pivot Report!PivotTable14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84800933743487"/>
          <c:y val="4.3088739674411868E-2"/>
          <c:w val="0.6615199579875598"/>
          <c:h val="0.93876834287759481"/>
        </c:manualLayout>
      </c:layout>
      <c:barChart>
        <c:barDir val="bar"/>
        <c:grouping val="clustered"/>
        <c:varyColors val="0"/>
        <c:ser>
          <c:idx val="0"/>
          <c:order val="0"/>
          <c:tx>
            <c:strRef>
              <c:f>'Pivot Report'!$T$24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Report'!$S$25:$S$32</c:f>
              <c:strCache>
                <c:ptCount val="7"/>
                <c:pt idx="0">
                  <c:v>African American</c:v>
                </c:pt>
                <c:pt idx="1">
                  <c:v>Asian</c:v>
                </c:pt>
                <c:pt idx="2">
                  <c:v>Declined to Identify</c:v>
                </c:pt>
                <c:pt idx="3">
                  <c:v>Native American/Alaska Native</c:v>
                </c:pt>
                <c:pt idx="4">
                  <c:v>Pacific Islander</c:v>
                </c:pt>
                <c:pt idx="5">
                  <c:v>Two or More Races</c:v>
                </c:pt>
                <c:pt idx="6">
                  <c:v>White</c:v>
                </c:pt>
              </c:strCache>
            </c:strRef>
          </c:cat>
          <c:val>
            <c:numRef>
              <c:f>'Pivot Report'!$T$25:$T$32</c:f>
              <c:numCache>
                <c:formatCode>0</c:formatCode>
                <c:ptCount val="7"/>
                <c:pt idx="0">
                  <c:v>106</c:v>
                </c:pt>
                <c:pt idx="1">
                  <c:v>55</c:v>
                </c:pt>
                <c:pt idx="2">
                  <c:v>57</c:v>
                </c:pt>
                <c:pt idx="3">
                  <c:v>24</c:v>
                </c:pt>
                <c:pt idx="4">
                  <c:v>35</c:v>
                </c:pt>
                <c:pt idx="5">
                  <c:v>81</c:v>
                </c:pt>
                <c:pt idx="6">
                  <c:v>148</c:v>
                </c:pt>
              </c:numCache>
            </c:numRef>
          </c:val>
          <c:extLst>
            <c:ext xmlns:c16="http://schemas.microsoft.com/office/drawing/2014/chart" uri="{C3380CC4-5D6E-409C-BE32-E72D297353CC}">
              <c16:uniqueId val="{00000000-3B7A-404F-9129-66102C8F2473}"/>
            </c:ext>
          </c:extLst>
        </c:ser>
        <c:dLbls>
          <c:showLegendKey val="0"/>
          <c:showVal val="0"/>
          <c:showCatName val="0"/>
          <c:showSerName val="0"/>
          <c:showPercent val="0"/>
          <c:showBubbleSize val="0"/>
        </c:dLbls>
        <c:gapWidth val="182"/>
        <c:axId val="1125429280"/>
        <c:axId val="1125420160"/>
      </c:barChart>
      <c:catAx>
        <c:axId val="1125429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crossAx val="1125420160"/>
        <c:crosses val="autoZero"/>
        <c:auto val="1"/>
        <c:lblAlgn val="ctr"/>
        <c:lblOffset val="100"/>
        <c:noMultiLvlLbl val="0"/>
      </c:catAx>
      <c:valAx>
        <c:axId val="1125420160"/>
        <c:scaling>
          <c:orientation val="minMax"/>
        </c:scaling>
        <c:delete val="1"/>
        <c:axPos val="b"/>
        <c:numFmt formatCode="0" sourceLinked="1"/>
        <c:majorTickMark val="none"/>
        <c:minorTickMark val="none"/>
        <c:tickLblPos val="nextTo"/>
        <c:crossAx val="1125429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Analysis.xlsx]Pivot Report!PivotTable15</c:name>
    <c:fmtId val="15"/>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01728539207724E-2"/>
          <c:y val="3.2130992459864775E-2"/>
          <c:w val="0.95179090362704566"/>
          <c:h val="0.77419947506561682"/>
        </c:manualLayout>
      </c:layout>
      <c:barChart>
        <c:barDir val="col"/>
        <c:grouping val="clustered"/>
        <c:varyColors val="0"/>
        <c:ser>
          <c:idx val="0"/>
          <c:order val="0"/>
          <c:tx>
            <c:strRef>
              <c:f>'Pivot Report'!$X$24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Report'!$W$25:$W$36</c:f>
              <c:strCache>
                <c:ptCount val="11"/>
                <c:pt idx="0">
                  <c:v>0</c:v>
                </c:pt>
                <c:pt idx="1">
                  <c:v>1</c:v>
                </c:pt>
                <c:pt idx="2">
                  <c:v>2</c:v>
                </c:pt>
                <c:pt idx="3">
                  <c:v>3</c:v>
                </c:pt>
                <c:pt idx="4">
                  <c:v>4</c:v>
                </c:pt>
                <c:pt idx="5">
                  <c:v>5</c:v>
                </c:pt>
                <c:pt idx="6">
                  <c:v>6</c:v>
                </c:pt>
                <c:pt idx="7">
                  <c:v>7</c:v>
                </c:pt>
                <c:pt idx="8">
                  <c:v>8</c:v>
                </c:pt>
                <c:pt idx="9">
                  <c:v>9</c:v>
                </c:pt>
                <c:pt idx="10">
                  <c:v>10</c:v>
                </c:pt>
              </c:strCache>
            </c:strRef>
          </c:cat>
          <c:val>
            <c:numRef>
              <c:f>'Pivot Report'!$X$25:$X$36</c:f>
              <c:numCache>
                <c:formatCode>0</c:formatCode>
                <c:ptCount val="11"/>
                <c:pt idx="0">
                  <c:v>0</c:v>
                </c:pt>
                <c:pt idx="1">
                  <c:v>13</c:v>
                </c:pt>
                <c:pt idx="2">
                  <c:v>26</c:v>
                </c:pt>
                <c:pt idx="3">
                  <c:v>30</c:v>
                </c:pt>
                <c:pt idx="4">
                  <c:v>72</c:v>
                </c:pt>
                <c:pt idx="5">
                  <c:v>75</c:v>
                </c:pt>
                <c:pt idx="6">
                  <c:v>84</c:v>
                </c:pt>
                <c:pt idx="7">
                  <c:v>84</c:v>
                </c:pt>
                <c:pt idx="8">
                  <c:v>80</c:v>
                </c:pt>
                <c:pt idx="9">
                  <c:v>117</c:v>
                </c:pt>
                <c:pt idx="10">
                  <c:v>160</c:v>
                </c:pt>
              </c:numCache>
            </c:numRef>
          </c:val>
          <c:extLst>
            <c:ext xmlns:c16="http://schemas.microsoft.com/office/drawing/2014/chart" uri="{C3380CC4-5D6E-409C-BE32-E72D297353CC}">
              <c16:uniqueId val="{00000000-8147-44AC-86F8-379EC18CBC4E}"/>
            </c:ext>
          </c:extLst>
        </c:ser>
        <c:dLbls>
          <c:showLegendKey val="0"/>
          <c:showVal val="0"/>
          <c:showCatName val="0"/>
          <c:showSerName val="0"/>
          <c:showPercent val="0"/>
          <c:showBubbleSize val="0"/>
        </c:dLbls>
        <c:gapWidth val="219"/>
        <c:overlap val="-27"/>
        <c:axId val="603681104"/>
        <c:axId val="603679184"/>
      </c:barChart>
      <c:catAx>
        <c:axId val="60368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03679184"/>
        <c:crosses val="autoZero"/>
        <c:auto val="1"/>
        <c:lblAlgn val="ctr"/>
        <c:lblOffset val="100"/>
        <c:noMultiLvlLbl val="0"/>
      </c:catAx>
      <c:valAx>
        <c:axId val="603679184"/>
        <c:scaling>
          <c:orientation val="minMax"/>
        </c:scaling>
        <c:delete val="1"/>
        <c:axPos val="l"/>
        <c:numFmt formatCode="0" sourceLinked="1"/>
        <c:majorTickMark val="none"/>
        <c:minorTickMark val="none"/>
        <c:tickLblPos val="nextTo"/>
        <c:crossAx val="60368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Analysis.xlsx]Pivot Report!PivotTable4</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174254019850722E-2"/>
          <c:y val="2.9787234042553193E-2"/>
          <c:w val="0.92116847868966278"/>
          <c:h val="0.65073044060981744"/>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Report'!$E$5:$E$35</c:f>
              <c:numCache>
                <c:formatCode>General</c:formatCode>
                <c:ptCount val="30"/>
                <c:pt idx="0">
                  <c:v>26</c:v>
                </c:pt>
                <c:pt idx="1">
                  <c:v>17</c:v>
                </c:pt>
                <c:pt idx="2">
                  <c:v>19</c:v>
                </c:pt>
                <c:pt idx="3">
                  <c:v>17</c:v>
                </c:pt>
                <c:pt idx="4">
                  <c:v>18</c:v>
                </c:pt>
                <c:pt idx="5">
                  <c:v>17</c:v>
                </c:pt>
                <c:pt idx="6">
                  <c:v>17</c:v>
                </c:pt>
                <c:pt idx="7">
                  <c:v>19</c:v>
                </c:pt>
                <c:pt idx="8">
                  <c:v>19</c:v>
                </c:pt>
                <c:pt idx="9">
                  <c:v>14</c:v>
                </c:pt>
                <c:pt idx="10">
                  <c:v>17</c:v>
                </c:pt>
                <c:pt idx="11">
                  <c:v>20</c:v>
                </c:pt>
                <c:pt idx="12">
                  <c:v>13</c:v>
                </c:pt>
                <c:pt idx="13">
                  <c:v>14</c:v>
                </c:pt>
                <c:pt idx="14">
                  <c:v>15</c:v>
                </c:pt>
                <c:pt idx="15">
                  <c:v>13</c:v>
                </c:pt>
                <c:pt idx="16">
                  <c:v>15</c:v>
                </c:pt>
                <c:pt idx="17">
                  <c:v>17</c:v>
                </c:pt>
                <c:pt idx="18">
                  <c:v>10</c:v>
                </c:pt>
                <c:pt idx="19">
                  <c:v>13</c:v>
                </c:pt>
                <c:pt idx="20">
                  <c:v>17</c:v>
                </c:pt>
                <c:pt idx="21">
                  <c:v>26</c:v>
                </c:pt>
                <c:pt idx="22">
                  <c:v>8</c:v>
                </c:pt>
                <c:pt idx="23">
                  <c:v>17</c:v>
                </c:pt>
                <c:pt idx="24">
                  <c:v>18</c:v>
                </c:pt>
                <c:pt idx="25">
                  <c:v>19</c:v>
                </c:pt>
                <c:pt idx="26">
                  <c:v>20</c:v>
                </c:pt>
                <c:pt idx="27">
                  <c:v>23</c:v>
                </c:pt>
                <c:pt idx="28">
                  <c:v>16</c:v>
                </c:pt>
                <c:pt idx="29">
                  <c:v>12</c:v>
                </c:pt>
              </c:numCache>
            </c:numRef>
          </c:val>
          <c:extLst>
            <c:ext xmlns:c16="http://schemas.microsoft.com/office/drawing/2014/chart" uri="{C3380CC4-5D6E-409C-BE32-E72D297353CC}">
              <c16:uniqueId val="{00000002-C9EA-400D-9057-5A0B0FD476C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01404144"/>
        <c:axId val="401420944"/>
      </c:areaChart>
      <c:catAx>
        <c:axId val="40140414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01420944"/>
        <c:crosses val="autoZero"/>
        <c:auto val="1"/>
        <c:lblAlgn val="ctr"/>
        <c:lblOffset val="100"/>
        <c:noMultiLvlLbl val="0"/>
      </c:catAx>
      <c:valAx>
        <c:axId val="401420944"/>
        <c:scaling>
          <c:orientation val="minMax"/>
        </c:scaling>
        <c:delete val="1"/>
        <c:axPos val="l"/>
        <c:numFmt formatCode="General" sourceLinked="1"/>
        <c:majorTickMark val="out"/>
        <c:minorTickMark val="none"/>
        <c:tickLblPos val="nextTo"/>
        <c:crossAx val="4014041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Analysis.xlsx]Pivot Report!PivotTable5</c:name>
    <c:fmtId val="3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037530102551616E-2"/>
          <c:y val="5.1760713275679854E-2"/>
          <c:w val="0.94230687014638637"/>
          <c:h val="0.68671955703079646"/>
        </c:manualLayout>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Report'!$I$5:$I$35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Report'!$J$5:$J$35</c:f>
              <c:numCache>
                <c:formatCode>0.00</c:formatCode>
                <c:ptCount val="30"/>
                <c:pt idx="0">
                  <c:v>34.884615384615387</c:v>
                </c:pt>
                <c:pt idx="1">
                  <c:v>34.941176470588232</c:v>
                </c:pt>
                <c:pt idx="2">
                  <c:v>32.736842105263158</c:v>
                </c:pt>
                <c:pt idx="3">
                  <c:v>34.411764705882355</c:v>
                </c:pt>
                <c:pt idx="4">
                  <c:v>34.388888888888886</c:v>
                </c:pt>
                <c:pt idx="5">
                  <c:v>33.294117647058826</c:v>
                </c:pt>
                <c:pt idx="6">
                  <c:v>35</c:v>
                </c:pt>
                <c:pt idx="7">
                  <c:v>36.736842105263158</c:v>
                </c:pt>
                <c:pt idx="8">
                  <c:v>37.368421052631582</c:v>
                </c:pt>
                <c:pt idx="9">
                  <c:v>31.428571428571427</c:v>
                </c:pt>
                <c:pt idx="10">
                  <c:v>45.470588235294116</c:v>
                </c:pt>
                <c:pt idx="11">
                  <c:v>32.549999999999997</c:v>
                </c:pt>
                <c:pt idx="12">
                  <c:v>39.615384615384613</c:v>
                </c:pt>
                <c:pt idx="13">
                  <c:v>36</c:v>
                </c:pt>
                <c:pt idx="14">
                  <c:v>31.6</c:v>
                </c:pt>
                <c:pt idx="15">
                  <c:v>33.846153846153847</c:v>
                </c:pt>
                <c:pt idx="16">
                  <c:v>31.8</c:v>
                </c:pt>
                <c:pt idx="17">
                  <c:v>36</c:v>
                </c:pt>
                <c:pt idx="18">
                  <c:v>29.8</c:v>
                </c:pt>
                <c:pt idx="19">
                  <c:v>41.307692307692307</c:v>
                </c:pt>
                <c:pt idx="20">
                  <c:v>29.764705882352942</c:v>
                </c:pt>
                <c:pt idx="21">
                  <c:v>37.92307692307692</c:v>
                </c:pt>
                <c:pt idx="22">
                  <c:v>38.625</c:v>
                </c:pt>
                <c:pt idx="23">
                  <c:v>41.470588235294116</c:v>
                </c:pt>
                <c:pt idx="24">
                  <c:v>39.5</c:v>
                </c:pt>
                <c:pt idx="25">
                  <c:v>29.736842105263158</c:v>
                </c:pt>
                <c:pt idx="26">
                  <c:v>37.75</c:v>
                </c:pt>
                <c:pt idx="27">
                  <c:v>37.782608695652172</c:v>
                </c:pt>
                <c:pt idx="28">
                  <c:v>34.1875</c:v>
                </c:pt>
                <c:pt idx="29">
                  <c:v>36.166666666666664</c:v>
                </c:pt>
              </c:numCache>
            </c:numRef>
          </c:val>
          <c:extLst>
            <c:ext xmlns:c16="http://schemas.microsoft.com/office/drawing/2014/chart" uri="{C3380CC4-5D6E-409C-BE32-E72D297353CC}">
              <c16:uniqueId val="{00000002-8DB7-4D3D-BFED-1C748703DE4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58988240"/>
        <c:axId val="458994000"/>
      </c:areaChart>
      <c:catAx>
        <c:axId val="45898824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400" b="0" i="0" u="none" strike="noStrike" kern="1200" baseline="0">
                <a:solidFill>
                  <a:schemeClr val="lt1"/>
                </a:solidFill>
                <a:latin typeface="+mn-lt"/>
                <a:ea typeface="+mn-ea"/>
                <a:cs typeface="+mn-cs"/>
              </a:defRPr>
            </a:pPr>
            <a:endParaRPr lang="en-US"/>
          </a:p>
        </c:txPr>
        <c:crossAx val="458994000"/>
        <c:crosses val="autoZero"/>
        <c:auto val="1"/>
        <c:lblAlgn val="ctr"/>
        <c:lblOffset val="100"/>
        <c:noMultiLvlLbl val="0"/>
      </c:catAx>
      <c:valAx>
        <c:axId val="458994000"/>
        <c:scaling>
          <c:orientation val="minMax"/>
        </c:scaling>
        <c:delete val="1"/>
        <c:axPos val="l"/>
        <c:numFmt formatCode="0.00" sourceLinked="1"/>
        <c:majorTickMark val="out"/>
        <c:minorTickMark val="none"/>
        <c:tickLblPos val="nextTo"/>
        <c:crossAx val="4589882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Analysis.xlsx]Pivot Report!PivotTable6</c:name>
    <c:fmtId val="4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Report'!$N$4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Report'!$M$5:$M$35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Report'!$N$5:$N$35</c:f>
              <c:numCache>
                <c:formatCode>0.00</c:formatCode>
                <c:ptCount val="30"/>
                <c:pt idx="0">
                  <c:v>4.8</c:v>
                </c:pt>
                <c:pt idx="1">
                  <c:v>5.333333333333333</c:v>
                </c:pt>
                <c:pt idx="2">
                  <c:v>6.666666666666667</c:v>
                </c:pt>
                <c:pt idx="3">
                  <c:v>4.5555555555555554</c:v>
                </c:pt>
                <c:pt idx="4">
                  <c:v>4.333333333333333</c:v>
                </c:pt>
                <c:pt idx="5">
                  <c:v>7.333333333333333</c:v>
                </c:pt>
                <c:pt idx="6">
                  <c:v>5.25</c:v>
                </c:pt>
                <c:pt idx="7">
                  <c:v>6.333333333333333</c:v>
                </c:pt>
                <c:pt idx="8">
                  <c:v>5.7142857142857144</c:v>
                </c:pt>
                <c:pt idx="9">
                  <c:v>5</c:v>
                </c:pt>
                <c:pt idx="10">
                  <c:v>6.166666666666667</c:v>
                </c:pt>
                <c:pt idx="11">
                  <c:v>3</c:v>
                </c:pt>
                <c:pt idx="12">
                  <c:v>4.5</c:v>
                </c:pt>
                <c:pt idx="13">
                  <c:v>4.666666666666667</c:v>
                </c:pt>
                <c:pt idx="14">
                  <c:v>9</c:v>
                </c:pt>
                <c:pt idx="15">
                  <c:v>1.5</c:v>
                </c:pt>
                <c:pt idx="16">
                  <c:v>6.8</c:v>
                </c:pt>
                <c:pt idx="17">
                  <c:v>4.625</c:v>
                </c:pt>
                <c:pt idx="18">
                  <c:v>4.333333333333333</c:v>
                </c:pt>
                <c:pt idx="19">
                  <c:v>1.3333333333333333</c:v>
                </c:pt>
                <c:pt idx="20">
                  <c:v>5</c:v>
                </c:pt>
                <c:pt idx="21">
                  <c:v>3.1666666666666665</c:v>
                </c:pt>
                <c:pt idx="22">
                  <c:v>7.5</c:v>
                </c:pt>
                <c:pt idx="23">
                  <c:v>4.2</c:v>
                </c:pt>
                <c:pt idx="24">
                  <c:v>4.625</c:v>
                </c:pt>
                <c:pt idx="25">
                  <c:v>9.6666666666666661</c:v>
                </c:pt>
                <c:pt idx="26">
                  <c:v>6.125</c:v>
                </c:pt>
                <c:pt idx="27">
                  <c:v>5.5555555555555554</c:v>
                </c:pt>
                <c:pt idx="28">
                  <c:v>6.333333333333333</c:v>
                </c:pt>
                <c:pt idx="29">
                  <c:v>5.333333333333333</c:v>
                </c:pt>
              </c:numCache>
            </c:numRef>
          </c:val>
          <c:extLst>
            <c:ext xmlns:c16="http://schemas.microsoft.com/office/drawing/2014/chart" uri="{C3380CC4-5D6E-409C-BE32-E72D297353CC}">
              <c16:uniqueId val="{00000002-D2AC-40C7-BBDD-BA8784317EC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18054624"/>
        <c:axId val="518055584"/>
      </c:areaChart>
      <c:catAx>
        <c:axId val="51805462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18055584"/>
        <c:crosses val="autoZero"/>
        <c:auto val="1"/>
        <c:lblAlgn val="ctr"/>
        <c:lblOffset val="100"/>
        <c:noMultiLvlLbl val="0"/>
      </c:catAx>
      <c:valAx>
        <c:axId val="518055584"/>
        <c:scaling>
          <c:orientation val="minMax"/>
        </c:scaling>
        <c:delete val="1"/>
        <c:axPos val="l"/>
        <c:numFmt formatCode="0.00" sourceLinked="1"/>
        <c:majorTickMark val="out"/>
        <c:minorTickMark val="none"/>
        <c:tickLblPos val="nextTo"/>
        <c:crossAx val="5180546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s'!A1"/><Relationship Id="rId13" Type="http://schemas.openxmlformats.org/officeDocument/2006/relationships/chart" Target="../charts/chart4.xml"/><Relationship Id="rId18" Type="http://schemas.openxmlformats.org/officeDocument/2006/relationships/image" Target="../media/image8.emf"/><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s'!A1"/><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chart" Target="../charts/chart7.xml"/><Relationship Id="rId20"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6.xml"/><Relationship Id="rId10" Type="http://schemas.openxmlformats.org/officeDocument/2006/relationships/hyperlink" Target="#'Average Wait Time of Patients'!A1"/><Relationship Id="rId19" Type="http://schemas.openxmlformats.org/officeDocument/2006/relationships/chart" Target="../charts/chart9.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2.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3.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24</xdr:col>
      <xdr:colOff>1306634</xdr:colOff>
      <xdr:row>10</xdr:row>
      <xdr:rowOff>36635</xdr:rowOff>
    </xdr:from>
    <xdr:to>
      <xdr:col>26</xdr:col>
      <xdr:colOff>366834</xdr:colOff>
      <xdr:row>12</xdr:row>
      <xdr:rowOff>182685</xdr:rowOff>
    </xdr:to>
    <xdr:graphicFrame macro="">
      <xdr:nvGraphicFramePr>
        <xdr:cNvPr id="2" name="Chart 1">
          <a:extLst>
            <a:ext uri="{FF2B5EF4-FFF2-40B4-BE49-F238E27FC236}">
              <a16:creationId xmlns:a16="http://schemas.microsoft.com/office/drawing/2014/main" id="{EFD14B6B-ACEC-2731-CE3A-1578697518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57148</xdr:colOff>
      <xdr:row>0</xdr:row>
      <xdr:rowOff>77259</xdr:rowOff>
    </xdr:from>
    <xdr:to>
      <xdr:col>7</xdr:col>
      <xdr:colOff>133349</xdr:colOff>
      <xdr:row>4</xdr:row>
      <xdr:rowOff>19242</xdr:rowOff>
    </xdr:to>
    <xdr:sp macro="" textlink="">
      <xdr:nvSpPr>
        <xdr:cNvPr id="2" name="Rectangle: Rounded Corners 1">
          <a:extLst>
            <a:ext uri="{FF2B5EF4-FFF2-40B4-BE49-F238E27FC236}">
              <a16:creationId xmlns:a16="http://schemas.microsoft.com/office/drawing/2014/main" id="{48FB8E05-E82A-CFF0-C9F0-B1A55E5C7302}"/>
            </a:ext>
          </a:extLst>
        </xdr:cNvPr>
        <xdr:cNvSpPr/>
      </xdr:nvSpPr>
      <xdr:spPr>
        <a:xfrm>
          <a:off x="57148" y="77259"/>
          <a:ext cx="4343401" cy="678583"/>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7</xdr:col>
      <xdr:colOff>203200</xdr:colOff>
      <xdr:row>0</xdr:row>
      <xdr:rowOff>70844</xdr:rowOff>
    </xdr:from>
    <xdr:to>
      <xdr:col>9</xdr:col>
      <xdr:colOff>545203</xdr:colOff>
      <xdr:row>4</xdr:row>
      <xdr:rowOff>12827</xdr:rowOff>
    </xdr:to>
    <xdr:sp macro="" textlink="">
      <xdr:nvSpPr>
        <xdr:cNvPr id="3" name="Rectangle: Rounded Corners 2">
          <a:extLst>
            <a:ext uri="{FF2B5EF4-FFF2-40B4-BE49-F238E27FC236}">
              <a16:creationId xmlns:a16="http://schemas.microsoft.com/office/drawing/2014/main" id="{04A67725-B996-0B11-3E1E-C30680431029}"/>
            </a:ext>
          </a:extLst>
        </xdr:cNvPr>
        <xdr:cNvSpPr/>
      </xdr:nvSpPr>
      <xdr:spPr>
        <a:xfrm>
          <a:off x="4470400" y="70844"/>
          <a:ext cx="1561203" cy="678583"/>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9</xdr:col>
      <xdr:colOff>592871</xdr:colOff>
      <xdr:row>0</xdr:row>
      <xdr:rowOff>51601</xdr:rowOff>
    </xdr:from>
    <xdr:to>
      <xdr:col>13</xdr:col>
      <xdr:colOff>36782</xdr:colOff>
      <xdr:row>10</xdr:row>
      <xdr:rowOff>100724</xdr:rowOff>
    </xdr:to>
    <xdr:sp macro="" textlink="">
      <xdr:nvSpPr>
        <xdr:cNvPr id="4" name="Rectangle: Rounded Corners 3">
          <a:extLst>
            <a:ext uri="{FF2B5EF4-FFF2-40B4-BE49-F238E27FC236}">
              <a16:creationId xmlns:a16="http://schemas.microsoft.com/office/drawing/2014/main" id="{3183C4B7-5B95-8B2F-E889-893C942FA54D}"/>
            </a:ext>
          </a:extLst>
        </xdr:cNvPr>
        <xdr:cNvSpPr/>
      </xdr:nvSpPr>
      <xdr:spPr>
        <a:xfrm>
          <a:off x="6064680" y="51601"/>
          <a:ext cx="1875825" cy="1873059"/>
        </a:xfrm>
        <a:prstGeom prst="roundRect">
          <a:avLst>
            <a:gd name="adj" fmla="val 661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13</xdr:col>
      <xdr:colOff>74954</xdr:colOff>
      <xdr:row>0</xdr:row>
      <xdr:rowOff>44174</xdr:rowOff>
    </xdr:from>
    <xdr:to>
      <xdr:col>16</xdr:col>
      <xdr:colOff>23447</xdr:colOff>
      <xdr:row>10</xdr:row>
      <xdr:rowOff>116611</xdr:rowOff>
    </xdr:to>
    <xdr:sp macro="" textlink="">
      <xdr:nvSpPr>
        <xdr:cNvPr id="5" name="Rectangle: Rounded Corners 4">
          <a:extLst>
            <a:ext uri="{FF2B5EF4-FFF2-40B4-BE49-F238E27FC236}">
              <a16:creationId xmlns:a16="http://schemas.microsoft.com/office/drawing/2014/main" id="{BB9927F9-5C4E-1C2D-AD2C-FBA415986B94}"/>
            </a:ext>
          </a:extLst>
        </xdr:cNvPr>
        <xdr:cNvSpPr/>
      </xdr:nvSpPr>
      <xdr:spPr>
        <a:xfrm>
          <a:off x="7971041" y="44174"/>
          <a:ext cx="1836928" cy="1894611"/>
        </a:xfrm>
        <a:prstGeom prst="roundRect">
          <a:avLst>
            <a:gd name="adj" fmla="val 611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0</xdr:col>
      <xdr:colOff>69979</xdr:colOff>
      <xdr:row>4</xdr:row>
      <xdr:rowOff>102915</xdr:rowOff>
    </xdr:from>
    <xdr:to>
      <xdr:col>1</xdr:col>
      <xdr:colOff>506718</xdr:colOff>
      <xdr:row>22</xdr:row>
      <xdr:rowOff>179596</xdr:rowOff>
    </xdr:to>
    <xdr:sp macro="" textlink="">
      <xdr:nvSpPr>
        <xdr:cNvPr id="7" name="Rectangle: Rounded Corners 6">
          <a:extLst>
            <a:ext uri="{FF2B5EF4-FFF2-40B4-BE49-F238E27FC236}">
              <a16:creationId xmlns:a16="http://schemas.microsoft.com/office/drawing/2014/main" id="{F230E338-6221-8D30-5F15-A6F841BB2501}"/>
            </a:ext>
          </a:extLst>
        </xdr:cNvPr>
        <xdr:cNvSpPr/>
      </xdr:nvSpPr>
      <xdr:spPr>
        <a:xfrm>
          <a:off x="69979" y="839515"/>
          <a:ext cx="1046339" cy="3391381"/>
        </a:xfrm>
        <a:prstGeom prst="roundRect">
          <a:avLst>
            <a:gd name="adj" fmla="val 897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1</xdr:col>
      <xdr:colOff>583407</xdr:colOff>
      <xdr:row>4</xdr:row>
      <xdr:rowOff>96921</xdr:rowOff>
    </xdr:from>
    <xdr:to>
      <xdr:col>4</xdr:col>
      <xdr:colOff>312481</xdr:colOff>
      <xdr:row>10</xdr:row>
      <xdr:rowOff>96211</xdr:rowOff>
    </xdr:to>
    <xdr:sp macro="" textlink="">
      <xdr:nvSpPr>
        <xdr:cNvPr id="6" name="Rectangle: Rounded Corners 5">
          <a:extLst>
            <a:ext uri="{FF2B5EF4-FFF2-40B4-BE49-F238E27FC236}">
              <a16:creationId xmlns:a16="http://schemas.microsoft.com/office/drawing/2014/main" id="{B522CA4A-43E4-A292-E64D-EDFD0822F626}"/>
            </a:ext>
          </a:extLst>
        </xdr:cNvPr>
        <xdr:cNvSpPr/>
      </xdr:nvSpPr>
      <xdr:spPr>
        <a:xfrm>
          <a:off x="1191670" y="832184"/>
          <a:ext cx="1553864" cy="1102185"/>
        </a:xfrm>
        <a:prstGeom prst="roundRect">
          <a:avLst>
            <a:gd name="adj" fmla="val 536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4</xdr:col>
      <xdr:colOff>398004</xdr:colOff>
      <xdr:row>4</xdr:row>
      <xdr:rowOff>90237</xdr:rowOff>
    </xdr:from>
    <xdr:to>
      <xdr:col>7</xdr:col>
      <xdr:colOff>114548</xdr:colOff>
      <xdr:row>10</xdr:row>
      <xdr:rowOff>96211</xdr:rowOff>
    </xdr:to>
    <xdr:sp macro="" textlink="">
      <xdr:nvSpPr>
        <xdr:cNvPr id="13" name="Rectangle: Rounded Corners 12">
          <a:extLst>
            <a:ext uri="{FF2B5EF4-FFF2-40B4-BE49-F238E27FC236}">
              <a16:creationId xmlns:a16="http://schemas.microsoft.com/office/drawing/2014/main" id="{653F53AD-DB63-3061-D6C0-C229ECC2B2FC}"/>
            </a:ext>
          </a:extLst>
        </xdr:cNvPr>
        <xdr:cNvSpPr/>
      </xdr:nvSpPr>
      <xdr:spPr>
        <a:xfrm>
          <a:off x="2831057" y="825500"/>
          <a:ext cx="1541333" cy="1108869"/>
        </a:xfrm>
        <a:prstGeom prst="roundRect">
          <a:avLst>
            <a:gd name="adj" fmla="val 361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7</xdr:col>
      <xdr:colOff>200073</xdr:colOff>
      <xdr:row>4</xdr:row>
      <xdr:rowOff>80211</xdr:rowOff>
    </xdr:from>
    <xdr:to>
      <xdr:col>9</xdr:col>
      <xdr:colOff>539750</xdr:colOff>
      <xdr:row>10</xdr:row>
      <xdr:rowOff>96211</xdr:rowOff>
    </xdr:to>
    <xdr:sp macro="" textlink="">
      <xdr:nvSpPr>
        <xdr:cNvPr id="14" name="Rectangle: Rounded Corners 13">
          <a:extLst>
            <a:ext uri="{FF2B5EF4-FFF2-40B4-BE49-F238E27FC236}">
              <a16:creationId xmlns:a16="http://schemas.microsoft.com/office/drawing/2014/main" id="{E2BB0EAC-E8FD-86EB-8FA3-8246B205AB22}"/>
            </a:ext>
          </a:extLst>
        </xdr:cNvPr>
        <xdr:cNvSpPr/>
      </xdr:nvSpPr>
      <xdr:spPr>
        <a:xfrm>
          <a:off x="4457915" y="815474"/>
          <a:ext cx="1556203" cy="1118895"/>
        </a:xfrm>
        <a:prstGeom prst="roundRect">
          <a:avLst>
            <a:gd name="adj" fmla="val 361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1</xdr:col>
      <xdr:colOff>585439</xdr:colOff>
      <xdr:row>13</xdr:row>
      <xdr:rowOff>133684</xdr:rowOff>
    </xdr:from>
    <xdr:to>
      <xdr:col>9</xdr:col>
      <xdr:colOff>535781</xdr:colOff>
      <xdr:row>23</xdr:row>
      <xdr:rowOff>3447</xdr:rowOff>
    </xdr:to>
    <xdr:sp macro="" textlink="">
      <xdr:nvSpPr>
        <xdr:cNvPr id="17" name="Rectangle: Rounded Corners 16">
          <a:extLst>
            <a:ext uri="{FF2B5EF4-FFF2-40B4-BE49-F238E27FC236}">
              <a16:creationId xmlns:a16="http://schemas.microsoft.com/office/drawing/2014/main" id="{544622FD-80F8-7527-A68C-A89A1E6F2AED}"/>
            </a:ext>
          </a:extLst>
        </xdr:cNvPr>
        <xdr:cNvSpPr/>
      </xdr:nvSpPr>
      <xdr:spPr>
        <a:xfrm>
          <a:off x="1193702" y="2523289"/>
          <a:ext cx="4816447" cy="1707921"/>
        </a:xfrm>
        <a:prstGeom prst="roundRect">
          <a:avLst>
            <a:gd name="adj" fmla="val 525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1</xdr:col>
      <xdr:colOff>580554</xdr:colOff>
      <xdr:row>10</xdr:row>
      <xdr:rowOff>133685</xdr:rowOff>
    </xdr:from>
    <xdr:to>
      <xdr:col>9</xdr:col>
      <xdr:colOff>530897</xdr:colOff>
      <xdr:row>13</xdr:row>
      <xdr:rowOff>92810</xdr:rowOff>
    </xdr:to>
    <xdr:sp macro="" textlink="">
      <xdr:nvSpPr>
        <xdr:cNvPr id="18" name="Rectangle: Rounded Corners 17">
          <a:extLst>
            <a:ext uri="{FF2B5EF4-FFF2-40B4-BE49-F238E27FC236}">
              <a16:creationId xmlns:a16="http://schemas.microsoft.com/office/drawing/2014/main" id="{7B0F3E70-2285-5716-9582-65F1E75759F0}"/>
            </a:ext>
          </a:extLst>
        </xdr:cNvPr>
        <xdr:cNvSpPr/>
      </xdr:nvSpPr>
      <xdr:spPr>
        <a:xfrm>
          <a:off x="1188817" y="1971843"/>
          <a:ext cx="4816448" cy="510572"/>
        </a:xfrm>
        <a:prstGeom prst="roundRect">
          <a:avLst>
            <a:gd name="adj" fmla="val 897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9</xdr:col>
      <xdr:colOff>603063</xdr:colOff>
      <xdr:row>10</xdr:row>
      <xdr:rowOff>134619</xdr:rowOff>
    </xdr:from>
    <xdr:to>
      <xdr:col>14</xdr:col>
      <xdr:colOff>314740</xdr:colOff>
      <xdr:row>22</xdr:row>
      <xdr:rowOff>158699</xdr:rowOff>
    </xdr:to>
    <xdr:sp macro="" textlink="">
      <xdr:nvSpPr>
        <xdr:cNvPr id="23" name="Rectangle: Rounded Corners 22">
          <a:extLst>
            <a:ext uri="{FF2B5EF4-FFF2-40B4-BE49-F238E27FC236}">
              <a16:creationId xmlns:a16="http://schemas.microsoft.com/office/drawing/2014/main" id="{55CD60D5-8314-AD7B-C424-85D6D0F31018}"/>
            </a:ext>
          </a:extLst>
        </xdr:cNvPr>
        <xdr:cNvSpPr/>
      </xdr:nvSpPr>
      <xdr:spPr>
        <a:xfrm>
          <a:off x="6069585" y="1956793"/>
          <a:ext cx="2814894" cy="2210689"/>
        </a:xfrm>
        <a:prstGeom prst="roundRect">
          <a:avLst>
            <a:gd name="adj" fmla="val 384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1</xdr:col>
      <xdr:colOff>400050</xdr:colOff>
      <xdr:row>0</xdr:row>
      <xdr:rowOff>139700</xdr:rowOff>
    </xdr:from>
    <xdr:to>
      <xdr:col>6</xdr:col>
      <xdr:colOff>596900</xdr:colOff>
      <xdr:row>2</xdr:row>
      <xdr:rowOff>44450</xdr:rowOff>
    </xdr:to>
    <xdr:sp macro="" textlink="">
      <xdr:nvSpPr>
        <xdr:cNvPr id="24" name="TextBox 23">
          <a:extLst>
            <a:ext uri="{FF2B5EF4-FFF2-40B4-BE49-F238E27FC236}">
              <a16:creationId xmlns:a16="http://schemas.microsoft.com/office/drawing/2014/main" id="{C2DD0498-AD51-8648-CE76-7B3BB38565AB}"/>
            </a:ext>
          </a:extLst>
        </xdr:cNvPr>
        <xdr:cNvSpPr txBox="1"/>
      </xdr:nvSpPr>
      <xdr:spPr>
        <a:xfrm>
          <a:off x="1009650" y="139700"/>
          <a:ext cx="32448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b="1"/>
            <a:t>Hospital</a:t>
          </a:r>
          <a:r>
            <a:rPr lang="en-IN" sz="1600" b="1" baseline="0"/>
            <a:t> Emergency Room Dashboard</a:t>
          </a:r>
          <a:endParaRPr lang="en-IN" sz="1600" b="1"/>
        </a:p>
      </xdr:txBody>
    </xdr:sp>
    <xdr:clientData/>
  </xdr:twoCellAnchor>
  <xdr:twoCellAnchor editAs="oneCell">
    <xdr:from>
      <xdr:col>0</xdr:col>
      <xdr:colOff>145489</xdr:colOff>
      <xdr:row>0</xdr:row>
      <xdr:rowOff>136058</xdr:rowOff>
    </xdr:from>
    <xdr:to>
      <xdr:col>1</xdr:col>
      <xdr:colOff>337112</xdr:colOff>
      <xdr:row>4</xdr:row>
      <xdr:rowOff>1526</xdr:rowOff>
    </xdr:to>
    <xdr:pic>
      <xdr:nvPicPr>
        <xdr:cNvPr id="26" name="Picture 25">
          <a:extLst>
            <a:ext uri="{FF2B5EF4-FFF2-40B4-BE49-F238E27FC236}">
              <a16:creationId xmlns:a16="http://schemas.microsoft.com/office/drawing/2014/main" id="{DF7D6196-1D36-F54B-3551-506C22EC2A3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1579" t="10426" r="18947" b="10895"/>
        <a:stretch>
          <a:fillRect/>
        </a:stretch>
      </xdr:blipFill>
      <xdr:spPr>
        <a:xfrm>
          <a:off x="145489" y="136058"/>
          <a:ext cx="801223" cy="597835"/>
        </a:xfrm>
        <a:prstGeom prst="rect">
          <a:avLst/>
        </a:prstGeom>
      </xdr:spPr>
    </xdr:pic>
    <xdr:clientData/>
  </xdr:twoCellAnchor>
  <xdr:twoCellAnchor editAs="absolute">
    <xdr:from>
      <xdr:col>3</xdr:col>
      <xdr:colOff>317500</xdr:colOff>
      <xdr:row>2</xdr:row>
      <xdr:rowOff>57150</xdr:rowOff>
    </xdr:from>
    <xdr:to>
      <xdr:col>4</xdr:col>
      <xdr:colOff>577850</xdr:colOff>
      <xdr:row>3</xdr:row>
      <xdr:rowOff>114300</xdr:rowOff>
    </xdr:to>
    <xdr:sp macro="" textlink="">
      <xdr:nvSpPr>
        <xdr:cNvPr id="27" name="TextBox 26">
          <a:extLst>
            <a:ext uri="{FF2B5EF4-FFF2-40B4-BE49-F238E27FC236}">
              <a16:creationId xmlns:a16="http://schemas.microsoft.com/office/drawing/2014/main" id="{EF859504-7050-EE25-73A1-E632AE07DA4B}"/>
            </a:ext>
          </a:extLst>
        </xdr:cNvPr>
        <xdr:cNvSpPr txBox="1"/>
      </xdr:nvSpPr>
      <xdr:spPr>
        <a:xfrm>
          <a:off x="2146300" y="425450"/>
          <a:ext cx="86995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0"/>
            <a:t>Monthly Report</a:t>
          </a:r>
        </a:p>
      </xdr:txBody>
    </xdr:sp>
    <xdr:clientData/>
  </xdr:twoCellAnchor>
  <xdr:twoCellAnchor editAs="absolute">
    <xdr:from>
      <xdr:col>1</xdr:col>
      <xdr:colOff>584200</xdr:colOff>
      <xdr:row>6</xdr:row>
      <xdr:rowOff>88900</xdr:rowOff>
    </xdr:from>
    <xdr:to>
      <xdr:col>4</xdr:col>
      <xdr:colOff>304800</xdr:colOff>
      <xdr:row>7</xdr:row>
      <xdr:rowOff>165100</xdr:rowOff>
    </xdr:to>
    <xdr:sp macro="" textlink="">
      <xdr:nvSpPr>
        <xdr:cNvPr id="28" name="TextBox 27">
          <a:extLst>
            <a:ext uri="{FF2B5EF4-FFF2-40B4-BE49-F238E27FC236}">
              <a16:creationId xmlns:a16="http://schemas.microsoft.com/office/drawing/2014/main" id="{3CE5E847-0FCB-AFFB-BE60-713372ED7279}"/>
            </a:ext>
          </a:extLst>
        </xdr:cNvPr>
        <xdr:cNvSpPr txBox="1"/>
      </xdr:nvSpPr>
      <xdr:spPr>
        <a:xfrm>
          <a:off x="1193800" y="1193800"/>
          <a:ext cx="15494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0"/>
            <a:t>No. of Patients</a:t>
          </a:r>
        </a:p>
      </xdr:txBody>
    </xdr:sp>
    <xdr:clientData/>
  </xdr:twoCellAnchor>
  <xdr:twoCellAnchor editAs="absolute">
    <xdr:from>
      <xdr:col>4</xdr:col>
      <xdr:colOff>355600</xdr:colOff>
      <xdr:row>5</xdr:row>
      <xdr:rowOff>31750</xdr:rowOff>
    </xdr:from>
    <xdr:to>
      <xdr:col>7</xdr:col>
      <xdr:colOff>107950</xdr:colOff>
      <xdr:row>6</xdr:row>
      <xdr:rowOff>82550</xdr:rowOff>
    </xdr:to>
    <xdr:sp macro="" textlink="'Pivot Report'!A10">
      <xdr:nvSpPr>
        <xdr:cNvPr id="29" name="TextBox 28">
          <a:extLst>
            <a:ext uri="{FF2B5EF4-FFF2-40B4-BE49-F238E27FC236}">
              <a16:creationId xmlns:a16="http://schemas.microsoft.com/office/drawing/2014/main" id="{3837436B-B570-0144-F66D-24E77C554AD0}"/>
            </a:ext>
          </a:extLst>
        </xdr:cNvPr>
        <xdr:cNvSpPr txBox="1"/>
      </xdr:nvSpPr>
      <xdr:spPr>
        <a:xfrm>
          <a:off x="2794000" y="952500"/>
          <a:ext cx="15811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E020891A-4976-456E-A5E8-A63EF5C4E306}" type="TxLink">
            <a:rPr lang="en-US" sz="1800" b="0" i="0" u="none" strike="noStrike">
              <a:solidFill>
                <a:srgbClr val="000000"/>
              </a:solidFill>
              <a:latin typeface="Aptos Narrow"/>
            </a:rPr>
            <a:pPr algn="ctr"/>
            <a:t>35.58</a:t>
          </a:fld>
          <a:endParaRPr lang="en-IN" sz="1800" b="0"/>
        </a:p>
      </xdr:txBody>
    </xdr:sp>
    <xdr:clientData/>
  </xdr:twoCellAnchor>
  <xdr:twoCellAnchor editAs="absolute">
    <xdr:from>
      <xdr:col>7</xdr:col>
      <xdr:colOff>209550</xdr:colOff>
      <xdr:row>6</xdr:row>
      <xdr:rowOff>66218</xdr:rowOff>
    </xdr:from>
    <xdr:to>
      <xdr:col>9</xdr:col>
      <xdr:colOff>539750</xdr:colOff>
      <xdr:row>7</xdr:row>
      <xdr:rowOff>156025</xdr:rowOff>
    </xdr:to>
    <xdr:sp macro="" textlink="">
      <xdr:nvSpPr>
        <xdr:cNvPr id="30" name="TextBox 29">
          <a:extLst>
            <a:ext uri="{FF2B5EF4-FFF2-40B4-BE49-F238E27FC236}">
              <a16:creationId xmlns:a16="http://schemas.microsoft.com/office/drawing/2014/main" id="{7BAE7B6B-5075-9E84-0184-BBFB839EB7D9}"/>
            </a:ext>
          </a:extLst>
        </xdr:cNvPr>
        <xdr:cNvSpPr txBox="1"/>
      </xdr:nvSpPr>
      <xdr:spPr>
        <a:xfrm>
          <a:off x="4476750" y="1176561"/>
          <a:ext cx="1549400" cy="274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0"/>
            <a:t>Patient</a:t>
          </a:r>
          <a:r>
            <a:rPr lang="en-IN" sz="1000" b="0" baseline="0"/>
            <a:t> satisfaction Score</a:t>
          </a:r>
          <a:endParaRPr lang="en-IN" sz="1000" b="0"/>
        </a:p>
      </xdr:txBody>
    </xdr:sp>
    <xdr:clientData/>
  </xdr:twoCellAnchor>
  <xdr:twoCellAnchor editAs="absolute">
    <xdr:from>
      <xdr:col>1</xdr:col>
      <xdr:colOff>596900</xdr:colOff>
      <xdr:row>5</xdr:row>
      <xdr:rowOff>38100</xdr:rowOff>
    </xdr:from>
    <xdr:to>
      <xdr:col>4</xdr:col>
      <xdr:colOff>317500</xdr:colOff>
      <xdr:row>6</xdr:row>
      <xdr:rowOff>114300</xdr:rowOff>
    </xdr:to>
    <xdr:sp macro="" textlink="'Pivot Report'!A5">
      <xdr:nvSpPr>
        <xdr:cNvPr id="31" name="TextBox 30">
          <a:extLst>
            <a:ext uri="{FF2B5EF4-FFF2-40B4-BE49-F238E27FC236}">
              <a16:creationId xmlns:a16="http://schemas.microsoft.com/office/drawing/2014/main" id="{C728ADC0-9415-F3D9-C81A-89E61C54A4A4}"/>
            </a:ext>
          </a:extLst>
        </xdr:cNvPr>
        <xdr:cNvSpPr txBox="1"/>
      </xdr:nvSpPr>
      <xdr:spPr>
        <a:xfrm>
          <a:off x="1206500" y="958850"/>
          <a:ext cx="15494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937DD672-6553-4CC5-B754-91D684781EAA}" type="TxLink">
            <a:rPr lang="en-US" sz="1800" b="0" i="0" u="none" strike="noStrike">
              <a:solidFill>
                <a:srgbClr val="000000"/>
              </a:solidFill>
              <a:latin typeface="Aptos Narrow"/>
            </a:rPr>
            <a:pPr algn="ctr"/>
            <a:t>506</a:t>
          </a:fld>
          <a:endParaRPr lang="en-IN" sz="1800" b="0"/>
        </a:p>
      </xdr:txBody>
    </xdr:sp>
    <xdr:clientData/>
  </xdr:twoCellAnchor>
  <xdr:twoCellAnchor editAs="absolute">
    <xdr:from>
      <xdr:col>4</xdr:col>
      <xdr:colOff>406400</xdr:colOff>
      <xdr:row>6</xdr:row>
      <xdr:rowOff>111576</xdr:rowOff>
    </xdr:from>
    <xdr:to>
      <xdr:col>7</xdr:col>
      <xdr:colOff>114300</xdr:colOff>
      <xdr:row>7</xdr:row>
      <xdr:rowOff>136976</xdr:rowOff>
    </xdr:to>
    <xdr:sp macro="" textlink="">
      <xdr:nvSpPr>
        <xdr:cNvPr id="32" name="TextBox 31">
          <a:extLst>
            <a:ext uri="{FF2B5EF4-FFF2-40B4-BE49-F238E27FC236}">
              <a16:creationId xmlns:a16="http://schemas.microsoft.com/office/drawing/2014/main" id="{6A11F356-033A-1D3B-37AD-05A650F57681}"/>
            </a:ext>
          </a:extLst>
        </xdr:cNvPr>
        <xdr:cNvSpPr txBox="1"/>
      </xdr:nvSpPr>
      <xdr:spPr>
        <a:xfrm>
          <a:off x="2844800" y="1221919"/>
          <a:ext cx="1536700" cy="210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0"/>
            <a:t>Avg. Wait Time(Min)</a:t>
          </a:r>
        </a:p>
      </xdr:txBody>
    </xdr:sp>
    <xdr:clientData/>
  </xdr:twoCellAnchor>
  <xdr:twoCellAnchor editAs="absolute">
    <xdr:from>
      <xdr:col>7</xdr:col>
      <xdr:colOff>171450</xdr:colOff>
      <xdr:row>5</xdr:row>
      <xdr:rowOff>31750</xdr:rowOff>
    </xdr:from>
    <xdr:to>
      <xdr:col>9</xdr:col>
      <xdr:colOff>501650</xdr:colOff>
      <xdr:row>6</xdr:row>
      <xdr:rowOff>120650</xdr:rowOff>
    </xdr:to>
    <xdr:sp macro="" textlink="'Pivot Report'!A15">
      <xdr:nvSpPr>
        <xdr:cNvPr id="33" name="TextBox 32">
          <a:extLst>
            <a:ext uri="{FF2B5EF4-FFF2-40B4-BE49-F238E27FC236}">
              <a16:creationId xmlns:a16="http://schemas.microsoft.com/office/drawing/2014/main" id="{7DB4C51E-303B-D4A5-E2A8-2C5BB1ED798C}"/>
            </a:ext>
          </a:extLst>
        </xdr:cNvPr>
        <xdr:cNvSpPr txBox="1"/>
      </xdr:nvSpPr>
      <xdr:spPr>
        <a:xfrm>
          <a:off x="4438650" y="952500"/>
          <a:ext cx="15494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CEF9DEF1-AE53-49A7-8DAC-E9E435B78338}" type="TxLink">
            <a:rPr lang="en-US" sz="1800" b="0" i="0" u="none" strike="noStrike">
              <a:solidFill>
                <a:srgbClr val="000000"/>
              </a:solidFill>
              <a:latin typeface="Aptos Narrow"/>
            </a:rPr>
            <a:pPr algn="ctr"/>
            <a:t>5.18</a:t>
          </a:fld>
          <a:endParaRPr lang="en-IN" sz="1800" b="0"/>
        </a:p>
      </xdr:txBody>
    </xdr:sp>
    <xdr:clientData/>
  </xdr:twoCellAnchor>
  <xdr:twoCellAnchor editAs="oneCell">
    <xdr:from>
      <xdr:col>3</xdr:col>
      <xdr:colOff>588616</xdr:colOff>
      <xdr:row>5</xdr:row>
      <xdr:rowOff>17116</xdr:rowOff>
    </xdr:from>
    <xdr:to>
      <xdr:col>4</xdr:col>
      <xdr:colOff>274984</xdr:colOff>
      <xdr:row>6</xdr:row>
      <xdr:rowOff>128934</xdr:rowOff>
    </xdr:to>
    <xdr:pic>
      <xdr:nvPicPr>
        <xdr:cNvPr id="35" name="Graphic 34" descr="Male profile with solid fill">
          <a:extLst>
            <a:ext uri="{FF2B5EF4-FFF2-40B4-BE49-F238E27FC236}">
              <a16:creationId xmlns:a16="http://schemas.microsoft.com/office/drawing/2014/main" id="{D47973EC-3F20-AA3F-2C0A-1A80A8DFFFB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417416" y="937866"/>
          <a:ext cx="295968" cy="295968"/>
        </a:xfrm>
        <a:prstGeom prst="rect">
          <a:avLst/>
        </a:prstGeom>
      </xdr:spPr>
    </xdr:pic>
    <xdr:clientData/>
  </xdr:twoCellAnchor>
  <xdr:twoCellAnchor editAs="oneCell">
    <xdr:from>
      <xdr:col>6</xdr:col>
      <xdr:colOff>394616</xdr:colOff>
      <xdr:row>5</xdr:row>
      <xdr:rowOff>45366</xdr:rowOff>
    </xdr:from>
    <xdr:to>
      <xdr:col>7</xdr:col>
      <xdr:colOff>49885</xdr:colOff>
      <xdr:row>6</xdr:row>
      <xdr:rowOff>126085</xdr:rowOff>
    </xdr:to>
    <xdr:pic>
      <xdr:nvPicPr>
        <xdr:cNvPr id="37" name="Graphic 36" descr="Hourglass Finished with solid fill">
          <a:extLst>
            <a:ext uri="{FF2B5EF4-FFF2-40B4-BE49-F238E27FC236}">
              <a16:creationId xmlns:a16="http://schemas.microsoft.com/office/drawing/2014/main" id="{356C854A-DE3F-E3F7-6188-19E6C8CBE45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052216" y="966116"/>
          <a:ext cx="264869" cy="264869"/>
        </a:xfrm>
        <a:prstGeom prst="rect">
          <a:avLst/>
        </a:prstGeom>
      </xdr:spPr>
    </xdr:pic>
    <xdr:clientData/>
  </xdr:twoCellAnchor>
  <xdr:twoCellAnchor editAs="oneCell">
    <xdr:from>
      <xdr:col>9</xdr:col>
      <xdr:colOff>152772</xdr:colOff>
      <xdr:row>5</xdr:row>
      <xdr:rowOff>22143</xdr:rowOff>
    </xdr:from>
    <xdr:to>
      <xdr:col>9</xdr:col>
      <xdr:colOff>444128</xdr:colOff>
      <xdr:row>6</xdr:row>
      <xdr:rowOff>129349</xdr:rowOff>
    </xdr:to>
    <xdr:pic>
      <xdr:nvPicPr>
        <xdr:cNvPr id="39" name="Graphic 38" descr="Theatre with solid fill">
          <a:extLst>
            <a:ext uri="{FF2B5EF4-FFF2-40B4-BE49-F238E27FC236}">
              <a16:creationId xmlns:a16="http://schemas.microsoft.com/office/drawing/2014/main" id="{C21C9E09-2D2F-380D-3574-C1D997B67AE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39172" y="947429"/>
          <a:ext cx="291356" cy="292263"/>
        </a:xfrm>
        <a:prstGeom prst="rect">
          <a:avLst/>
        </a:prstGeom>
      </xdr:spPr>
    </xdr:pic>
    <xdr:clientData/>
  </xdr:twoCellAnchor>
  <xdr:twoCellAnchor editAs="absolute">
    <xdr:from>
      <xdr:col>0</xdr:col>
      <xdr:colOff>120650</xdr:colOff>
      <xdr:row>5</xdr:row>
      <xdr:rowOff>101600</xdr:rowOff>
    </xdr:from>
    <xdr:to>
      <xdr:col>1</xdr:col>
      <xdr:colOff>482600</xdr:colOff>
      <xdr:row>22</xdr:row>
      <xdr:rowOff>114300</xdr:rowOff>
    </xdr:to>
    <mc:AlternateContent xmlns:mc="http://schemas.openxmlformats.org/markup-compatibility/2006" xmlns:a14="http://schemas.microsoft.com/office/drawing/2010/main">
      <mc:Choice Requires="a14">
        <xdr:graphicFrame macro="">
          <xdr:nvGraphicFramePr>
            <xdr:cNvPr id="40" name="Date (Month)">
              <a:extLst>
                <a:ext uri="{FF2B5EF4-FFF2-40B4-BE49-F238E27FC236}">
                  <a16:creationId xmlns:a16="http://schemas.microsoft.com/office/drawing/2014/main" id="{F665D0A5-2D25-4395-AB22-FFDE1E2C55FF}"/>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20650" y="1022350"/>
              <a:ext cx="971550" cy="3143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577850</xdr:colOff>
      <xdr:row>7</xdr:row>
      <xdr:rowOff>12700</xdr:rowOff>
    </xdr:from>
    <xdr:to>
      <xdr:col>4</xdr:col>
      <xdr:colOff>298450</xdr:colOff>
      <xdr:row>10</xdr:row>
      <xdr:rowOff>69850</xdr:rowOff>
    </xdr:to>
    <xdr:graphicFrame macro="">
      <xdr:nvGraphicFramePr>
        <xdr:cNvPr id="10" name="Chart 9">
          <a:hlinkClick xmlns:r="http://schemas.openxmlformats.org/officeDocument/2006/relationships" r:id="rId8"/>
          <a:extLst>
            <a:ext uri="{FF2B5EF4-FFF2-40B4-BE49-F238E27FC236}">
              <a16:creationId xmlns:a16="http://schemas.microsoft.com/office/drawing/2014/main" id="{88822395-3372-4129-805A-C4B17DE4CA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419100</xdr:colOff>
      <xdr:row>6</xdr:row>
      <xdr:rowOff>114300</xdr:rowOff>
    </xdr:from>
    <xdr:to>
      <xdr:col>7</xdr:col>
      <xdr:colOff>95250</xdr:colOff>
      <xdr:row>10</xdr:row>
      <xdr:rowOff>69850</xdr:rowOff>
    </xdr:to>
    <xdr:graphicFrame macro="">
      <xdr:nvGraphicFramePr>
        <xdr:cNvPr id="12" name="Chart 11">
          <a:hlinkClick xmlns:r="http://schemas.openxmlformats.org/officeDocument/2006/relationships" r:id="rId10"/>
          <a:extLst>
            <a:ext uri="{FF2B5EF4-FFF2-40B4-BE49-F238E27FC236}">
              <a16:creationId xmlns:a16="http://schemas.microsoft.com/office/drawing/2014/main" id="{3F0A104D-A171-40A6-9D0E-22EA30DD1E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208280</xdr:colOff>
      <xdr:row>6</xdr:row>
      <xdr:rowOff>119742</xdr:rowOff>
    </xdr:from>
    <xdr:to>
      <xdr:col>9</xdr:col>
      <xdr:colOff>521369</xdr:colOff>
      <xdr:row>10</xdr:row>
      <xdr:rowOff>68579</xdr:rowOff>
    </xdr:to>
    <xdr:graphicFrame macro="">
      <xdr:nvGraphicFramePr>
        <xdr:cNvPr id="16" name="Chart 15">
          <a:hlinkClick xmlns:r="http://schemas.openxmlformats.org/officeDocument/2006/relationships" r:id="rId12"/>
          <a:extLst>
            <a:ext uri="{FF2B5EF4-FFF2-40B4-BE49-F238E27FC236}">
              <a16:creationId xmlns:a16="http://schemas.microsoft.com/office/drawing/2014/main" id="{272EBD68-166A-4EA4-98A9-4D665CE289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603250</xdr:colOff>
      <xdr:row>13</xdr:row>
      <xdr:rowOff>166077</xdr:rowOff>
    </xdr:from>
    <xdr:to>
      <xdr:col>9</xdr:col>
      <xdr:colOff>517770</xdr:colOff>
      <xdr:row>22</xdr:row>
      <xdr:rowOff>175847</xdr:rowOff>
    </xdr:to>
    <xdr:graphicFrame macro="">
      <xdr:nvGraphicFramePr>
        <xdr:cNvPr id="38" name="Chart 37">
          <a:extLst>
            <a:ext uri="{FF2B5EF4-FFF2-40B4-BE49-F238E27FC236}">
              <a16:creationId xmlns:a16="http://schemas.microsoft.com/office/drawing/2014/main" id="{A2459335-443D-48B2-BD26-743B64877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607974</xdr:colOff>
      <xdr:row>0</xdr:row>
      <xdr:rowOff>47285</xdr:rowOff>
    </xdr:from>
    <xdr:to>
      <xdr:col>13</xdr:col>
      <xdr:colOff>40528</xdr:colOff>
      <xdr:row>10</xdr:row>
      <xdr:rowOff>13510</xdr:rowOff>
    </xdr:to>
    <xdr:graphicFrame macro="">
      <xdr:nvGraphicFramePr>
        <xdr:cNvPr id="41" name="Chart 40">
          <a:extLst>
            <a:ext uri="{FF2B5EF4-FFF2-40B4-BE49-F238E27FC236}">
              <a16:creationId xmlns:a16="http://schemas.microsoft.com/office/drawing/2014/main" id="{8EECDE91-7015-4072-A53E-27138356D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10</xdr:col>
      <xdr:colOff>108085</xdr:colOff>
      <xdr:row>9</xdr:row>
      <xdr:rowOff>74306</xdr:rowOff>
    </xdr:from>
    <xdr:to>
      <xdr:col>13</xdr:col>
      <xdr:colOff>74308</xdr:colOff>
      <xdr:row>10</xdr:row>
      <xdr:rowOff>87818</xdr:rowOff>
    </xdr:to>
    <xdr:sp macro="" textlink="">
      <xdr:nvSpPr>
        <xdr:cNvPr id="42" name="TextBox 41">
          <a:extLst>
            <a:ext uri="{FF2B5EF4-FFF2-40B4-BE49-F238E27FC236}">
              <a16:creationId xmlns:a16="http://schemas.microsoft.com/office/drawing/2014/main" id="{B2AE9C9A-6477-4A6A-91D8-C7D7B9E1728D}"/>
            </a:ext>
          </a:extLst>
        </xdr:cNvPr>
        <xdr:cNvSpPr txBox="1"/>
      </xdr:nvSpPr>
      <xdr:spPr>
        <a:xfrm>
          <a:off x="6187872" y="1715849"/>
          <a:ext cx="1790159" cy="195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0" i="0" u="none" strike="noStrike">
              <a:solidFill>
                <a:srgbClr val="000000"/>
              </a:solidFill>
              <a:latin typeface="Aptos Narrow"/>
            </a:rPr>
            <a:t>Patients</a:t>
          </a:r>
          <a:r>
            <a:rPr lang="en-IN" sz="1000" b="0" i="0" u="none" strike="noStrike" baseline="0">
              <a:solidFill>
                <a:srgbClr val="000000"/>
              </a:solidFill>
              <a:latin typeface="Aptos Narrow"/>
            </a:rPr>
            <a:t> attending status</a:t>
          </a:r>
          <a:endParaRPr lang="en-IN" sz="1000" b="0" i="0" u="none" strike="noStrike">
            <a:solidFill>
              <a:srgbClr val="000000"/>
            </a:solidFill>
            <a:latin typeface="Aptos Narrow"/>
          </a:endParaRPr>
        </a:p>
      </xdr:txBody>
    </xdr:sp>
    <xdr:clientData/>
  </xdr:twoCellAnchor>
  <xdr:twoCellAnchor>
    <xdr:from>
      <xdr:col>13</xdr:col>
      <xdr:colOff>92459</xdr:colOff>
      <xdr:row>0</xdr:row>
      <xdr:rowOff>2469</xdr:rowOff>
    </xdr:from>
    <xdr:to>
      <xdr:col>16</xdr:col>
      <xdr:colOff>140138</xdr:colOff>
      <xdr:row>10</xdr:row>
      <xdr:rowOff>83533</xdr:rowOff>
    </xdr:to>
    <xdr:graphicFrame macro="">
      <xdr:nvGraphicFramePr>
        <xdr:cNvPr id="43" name="Chart 42">
          <a:extLst>
            <a:ext uri="{FF2B5EF4-FFF2-40B4-BE49-F238E27FC236}">
              <a16:creationId xmlns:a16="http://schemas.microsoft.com/office/drawing/2014/main" id="{5A3C3E9B-B343-4691-887D-AF66EFDB9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13</xdr:col>
      <xdr:colOff>120380</xdr:colOff>
      <xdr:row>9</xdr:row>
      <xdr:rowOff>63364</xdr:rowOff>
    </xdr:from>
    <xdr:to>
      <xdr:col>16</xdr:col>
      <xdr:colOff>19049</xdr:colOff>
      <xdr:row>10</xdr:row>
      <xdr:rowOff>76876</xdr:rowOff>
    </xdr:to>
    <xdr:sp macro="" textlink="">
      <xdr:nvSpPr>
        <xdr:cNvPr id="44" name="TextBox 43">
          <a:extLst>
            <a:ext uri="{FF2B5EF4-FFF2-40B4-BE49-F238E27FC236}">
              <a16:creationId xmlns:a16="http://schemas.microsoft.com/office/drawing/2014/main" id="{0F0FA468-953A-41A8-9F0D-0F7BAE5735A2}"/>
            </a:ext>
          </a:extLst>
        </xdr:cNvPr>
        <xdr:cNvSpPr txBox="1"/>
      </xdr:nvSpPr>
      <xdr:spPr>
        <a:xfrm>
          <a:off x="8016467" y="1703321"/>
          <a:ext cx="1787104" cy="195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0" i="0" u="none" strike="noStrike">
              <a:solidFill>
                <a:srgbClr val="000000"/>
              </a:solidFill>
              <a:latin typeface="Aptos Narrow"/>
            </a:rPr>
            <a:t>Gender</a:t>
          </a:r>
          <a:r>
            <a:rPr lang="en-IN" sz="1000" b="0" i="0" u="none" strike="noStrike" baseline="0">
              <a:solidFill>
                <a:srgbClr val="000000"/>
              </a:solidFill>
              <a:latin typeface="Aptos Narrow"/>
            </a:rPr>
            <a:t> Wise Analysis</a:t>
          </a:r>
          <a:endParaRPr lang="en-IN" sz="1000" b="0" i="0" u="none" strike="noStrike">
            <a:solidFill>
              <a:srgbClr val="000000"/>
            </a:solidFill>
            <a:latin typeface="Aptos Narrow"/>
          </a:endParaRPr>
        </a:p>
      </xdr:txBody>
    </xdr:sp>
    <xdr:clientData/>
  </xdr:twoCellAnchor>
  <xdr:twoCellAnchor>
    <xdr:from>
      <xdr:col>9</xdr:col>
      <xdr:colOff>585304</xdr:colOff>
      <xdr:row>10</xdr:row>
      <xdr:rowOff>130310</xdr:rowOff>
    </xdr:from>
    <xdr:to>
      <xdr:col>14</xdr:col>
      <xdr:colOff>298174</xdr:colOff>
      <xdr:row>21</xdr:row>
      <xdr:rowOff>149086</xdr:rowOff>
    </xdr:to>
    <xdr:graphicFrame macro="">
      <xdr:nvGraphicFramePr>
        <xdr:cNvPr id="45" name="Chart 44">
          <a:extLst>
            <a:ext uri="{FF2B5EF4-FFF2-40B4-BE49-F238E27FC236}">
              <a16:creationId xmlns:a16="http://schemas.microsoft.com/office/drawing/2014/main" id="{82DA06DA-9109-412E-9E0F-A16671AEA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10</xdr:col>
      <xdr:colOff>434772</xdr:colOff>
      <xdr:row>21</xdr:row>
      <xdr:rowOff>110434</xdr:rowOff>
    </xdr:from>
    <xdr:to>
      <xdr:col>14</xdr:col>
      <xdr:colOff>95250</xdr:colOff>
      <xdr:row>22</xdr:row>
      <xdr:rowOff>172001</xdr:rowOff>
    </xdr:to>
    <xdr:sp macro="" textlink="">
      <xdr:nvSpPr>
        <xdr:cNvPr id="46" name="TextBox 45">
          <a:extLst>
            <a:ext uri="{FF2B5EF4-FFF2-40B4-BE49-F238E27FC236}">
              <a16:creationId xmlns:a16="http://schemas.microsoft.com/office/drawing/2014/main" id="{888FBA11-17A9-480E-AEA4-29969258460E}"/>
            </a:ext>
          </a:extLst>
        </xdr:cNvPr>
        <xdr:cNvSpPr txBox="1"/>
      </xdr:nvSpPr>
      <xdr:spPr>
        <a:xfrm>
          <a:off x="6508685" y="3936999"/>
          <a:ext cx="2156304" cy="243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0" i="0" u="none" strike="noStrike">
              <a:solidFill>
                <a:srgbClr val="000000"/>
              </a:solidFill>
              <a:latin typeface="Aptos Narrow"/>
            </a:rPr>
            <a:t>No. of patient by Department Referral</a:t>
          </a:r>
        </a:p>
      </xdr:txBody>
    </xdr:sp>
    <xdr:clientData/>
  </xdr:twoCellAnchor>
  <xdr:twoCellAnchor editAs="oneCell">
    <xdr:from>
      <xdr:col>7</xdr:col>
      <xdr:colOff>331567</xdr:colOff>
      <xdr:row>1</xdr:row>
      <xdr:rowOff>85893</xdr:rowOff>
    </xdr:from>
    <xdr:to>
      <xdr:col>9</xdr:col>
      <xdr:colOff>501650</xdr:colOff>
      <xdr:row>3</xdr:row>
      <xdr:rowOff>133350</xdr:rowOff>
    </xdr:to>
    <mc:AlternateContent xmlns:mc="http://schemas.openxmlformats.org/markup-compatibility/2006" xmlns:a14="http://schemas.microsoft.com/office/drawing/2010/main">
      <mc:Choice Requires="a14">
        <xdr:graphicFrame macro="">
          <xdr:nvGraphicFramePr>
            <xdr:cNvPr id="47" name="Date (Year)">
              <a:extLst>
                <a:ext uri="{FF2B5EF4-FFF2-40B4-BE49-F238E27FC236}">
                  <a16:creationId xmlns:a16="http://schemas.microsoft.com/office/drawing/2014/main" id="{72AEE87D-6EBD-468F-AFA4-53B125CEF710}"/>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598767" y="270043"/>
              <a:ext cx="1389283" cy="4157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196850</xdr:colOff>
      <xdr:row>4</xdr:row>
      <xdr:rowOff>155118</xdr:rowOff>
    </xdr:from>
    <xdr:to>
      <xdr:col>1</xdr:col>
      <xdr:colOff>381000</xdr:colOff>
      <xdr:row>6</xdr:row>
      <xdr:rowOff>25399</xdr:rowOff>
    </xdr:to>
    <xdr:sp macro="" textlink="">
      <xdr:nvSpPr>
        <xdr:cNvPr id="49" name="TextBox 48">
          <a:extLst>
            <a:ext uri="{FF2B5EF4-FFF2-40B4-BE49-F238E27FC236}">
              <a16:creationId xmlns:a16="http://schemas.microsoft.com/office/drawing/2014/main" id="{E46D7A53-2B9F-44A1-B124-B92C20BA8D47}"/>
            </a:ext>
          </a:extLst>
        </xdr:cNvPr>
        <xdr:cNvSpPr txBox="1"/>
      </xdr:nvSpPr>
      <xdr:spPr>
        <a:xfrm>
          <a:off x="196850" y="891718"/>
          <a:ext cx="793750" cy="238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50" b="1" u="none"/>
            <a:t>Select Month</a:t>
          </a:r>
        </a:p>
      </xdr:txBody>
    </xdr:sp>
    <xdr:clientData/>
  </xdr:twoCellAnchor>
  <xdr:twoCellAnchor editAs="absolute">
    <xdr:from>
      <xdr:col>7</xdr:col>
      <xdr:colOff>469900</xdr:colOff>
      <xdr:row>0</xdr:row>
      <xdr:rowOff>82550</xdr:rowOff>
    </xdr:from>
    <xdr:to>
      <xdr:col>9</xdr:col>
      <xdr:colOff>234950</xdr:colOff>
      <xdr:row>1</xdr:row>
      <xdr:rowOff>158749</xdr:rowOff>
    </xdr:to>
    <xdr:sp macro="" textlink="">
      <xdr:nvSpPr>
        <xdr:cNvPr id="50" name="TextBox 49">
          <a:extLst>
            <a:ext uri="{FF2B5EF4-FFF2-40B4-BE49-F238E27FC236}">
              <a16:creationId xmlns:a16="http://schemas.microsoft.com/office/drawing/2014/main" id="{F94EA4BA-492B-49D8-B74D-E8CB9E8A5F81}"/>
            </a:ext>
          </a:extLst>
        </xdr:cNvPr>
        <xdr:cNvSpPr txBox="1"/>
      </xdr:nvSpPr>
      <xdr:spPr>
        <a:xfrm>
          <a:off x="4737100" y="82550"/>
          <a:ext cx="984250" cy="260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b="1" u="none"/>
            <a:t>Select Year</a:t>
          </a:r>
        </a:p>
      </xdr:txBody>
    </xdr:sp>
    <xdr:clientData/>
  </xdr:twoCellAnchor>
  <mc:AlternateContent xmlns:mc="http://schemas.openxmlformats.org/markup-compatibility/2006">
    <mc:Choice xmlns:a14="http://schemas.microsoft.com/office/drawing/2010/main" Requires="a14">
      <xdr:twoCellAnchor editAs="oneCell">
        <xdr:from>
          <xdr:col>2</xdr:col>
          <xdr:colOff>152401</xdr:colOff>
          <xdr:row>10</xdr:row>
          <xdr:rowOff>139701</xdr:rowOff>
        </xdr:from>
        <xdr:to>
          <xdr:col>9</xdr:col>
          <xdr:colOff>127000</xdr:colOff>
          <xdr:row>13</xdr:row>
          <xdr:rowOff>97627</xdr:rowOff>
        </xdr:to>
        <xdr:pic>
          <xdr:nvPicPr>
            <xdr:cNvPr id="8" name="Picture 7">
              <a:extLst>
                <a:ext uri="{FF2B5EF4-FFF2-40B4-BE49-F238E27FC236}">
                  <a16:creationId xmlns:a16="http://schemas.microsoft.com/office/drawing/2014/main" id="{BC7BD5FE-5A41-53D1-1F60-BC8D3B98C3A2}"/>
                </a:ext>
              </a:extLst>
            </xdr:cNvPr>
            <xdr:cNvPicPr>
              <a:picLocks noChangeAspect="1" noChangeArrowheads="1"/>
              <a:extLst>
                <a:ext uri="{84589F7E-364E-4C9E-8A38-B11213B215E9}">
                  <a14:cameraTool cellRange="'Pivot Report'!$W$11:$AA$13" spid="_x0000_s1049"/>
                </a:ext>
              </a:extLst>
            </xdr:cNvPicPr>
          </xdr:nvPicPr>
          <xdr:blipFill>
            <a:blip xmlns:r="http://schemas.openxmlformats.org/officeDocument/2006/relationships" r:embed="rId18"/>
            <a:srcRect/>
            <a:stretch>
              <a:fillRect/>
            </a:stretch>
          </xdr:blipFill>
          <xdr:spPr bwMode="auto">
            <a:xfrm>
              <a:off x="1371601" y="1981201"/>
              <a:ext cx="4241799" cy="51037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absolute">
    <xdr:from>
      <xdr:col>14</xdr:col>
      <xdr:colOff>342715</xdr:colOff>
      <xdr:row>10</xdr:row>
      <xdr:rowOff>145663</xdr:rowOff>
    </xdr:from>
    <xdr:to>
      <xdr:col>19</xdr:col>
      <xdr:colOff>110434</xdr:colOff>
      <xdr:row>22</xdr:row>
      <xdr:rowOff>169743</xdr:rowOff>
    </xdr:to>
    <xdr:sp macro="" textlink="">
      <xdr:nvSpPr>
        <xdr:cNvPr id="19" name="Rectangle: Rounded Corners 18">
          <a:extLst>
            <a:ext uri="{FF2B5EF4-FFF2-40B4-BE49-F238E27FC236}">
              <a16:creationId xmlns:a16="http://schemas.microsoft.com/office/drawing/2014/main" id="{EE86E9FD-5FCE-F4EF-FA48-421CEF9BBF87}"/>
            </a:ext>
          </a:extLst>
        </xdr:cNvPr>
        <xdr:cNvSpPr/>
      </xdr:nvSpPr>
      <xdr:spPr>
        <a:xfrm>
          <a:off x="8912454" y="1967837"/>
          <a:ext cx="2804676" cy="2210689"/>
        </a:xfrm>
        <a:prstGeom prst="roundRect">
          <a:avLst>
            <a:gd name="adj" fmla="val 384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14</xdr:col>
      <xdr:colOff>393700</xdr:colOff>
      <xdr:row>10</xdr:row>
      <xdr:rowOff>135834</xdr:rowOff>
    </xdr:from>
    <xdr:to>
      <xdr:col>19</xdr:col>
      <xdr:colOff>60738</xdr:colOff>
      <xdr:row>21</xdr:row>
      <xdr:rowOff>178352</xdr:rowOff>
    </xdr:to>
    <xdr:graphicFrame macro="">
      <xdr:nvGraphicFramePr>
        <xdr:cNvPr id="9" name="Chart 8">
          <a:extLst>
            <a:ext uri="{FF2B5EF4-FFF2-40B4-BE49-F238E27FC236}">
              <a16:creationId xmlns:a16="http://schemas.microsoft.com/office/drawing/2014/main" id="{681A43BF-52BB-4742-B67D-9B067FB98A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absolute">
    <xdr:from>
      <xdr:col>15</xdr:col>
      <xdr:colOff>280440</xdr:colOff>
      <xdr:row>21</xdr:row>
      <xdr:rowOff>159579</xdr:rowOff>
    </xdr:from>
    <xdr:to>
      <xdr:col>18</xdr:col>
      <xdr:colOff>144118</xdr:colOff>
      <xdr:row>22</xdr:row>
      <xdr:rowOff>165929</xdr:rowOff>
    </xdr:to>
    <xdr:sp macro="" textlink="">
      <xdr:nvSpPr>
        <xdr:cNvPr id="15" name="TextBox 14">
          <a:extLst>
            <a:ext uri="{FF2B5EF4-FFF2-40B4-BE49-F238E27FC236}">
              <a16:creationId xmlns:a16="http://schemas.microsoft.com/office/drawing/2014/main" id="{97DA64EF-2011-4855-BB98-32C9EF94195D}"/>
            </a:ext>
          </a:extLst>
        </xdr:cNvPr>
        <xdr:cNvSpPr txBox="1"/>
      </xdr:nvSpPr>
      <xdr:spPr>
        <a:xfrm>
          <a:off x="9457570" y="3986144"/>
          <a:ext cx="1685852" cy="188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0" i="0" u="none" strike="noStrike">
              <a:solidFill>
                <a:srgbClr val="000000"/>
              </a:solidFill>
              <a:latin typeface="Aptos Narrow"/>
            </a:rPr>
            <a:t>No. of Patients Racisim wise</a:t>
          </a:r>
        </a:p>
      </xdr:txBody>
    </xdr:sp>
    <xdr:clientData/>
  </xdr:twoCellAnchor>
  <xdr:twoCellAnchor editAs="absolute">
    <xdr:from>
      <xdr:col>16</xdr:col>
      <xdr:colOff>68604</xdr:colOff>
      <xdr:row>0</xdr:row>
      <xdr:rowOff>37824</xdr:rowOff>
    </xdr:from>
    <xdr:to>
      <xdr:col>19</xdr:col>
      <xdr:colOff>80597</xdr:colOff>
      <xdr:row>10</xdr:row>
      <xdr:rowOff>110261</xdr:rowOff>
    </xdr:to>
    <xdr:sp macro="" textlink="">
      <xdr:nvSpPr>
        <xdr:cNvPr id="21" name="Rectangle: Rounded Corners 20">
          <a:extLst>
            <a:ext uri="{FF2B5EF4-FFF2-40B4-BE49-F238E27FC236}">
              <a16:creationId xmlns:a16="http://schemas.microsoft.com/office/drawing/2014/main" id="{D4C82AD9-158E-9FC2-D56A-E079AD62009D}"/>
            </a:ext>
          </a:extLst>
        </xdr:cNvPr>
        <xdr:cNvSpPr/>
      </xdr:nvSpPr>
      <xdr:spPr>
        <a:xfrm>
          <a:off x="9885704" y="37824"/>
          <a:ext cx="1840793" cy="1913937"/>
        </a:xfrm>
        <a:prstGeom prst="roundRect">
          <a:avLst>
            <a:gd name="adj" fmla="val 611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16</xdr:col>
      <xdr:colOff>63500</xdr:colOff>
      <xdr:row>0</xdr:row>
      <xdr:rowOff>12700</xdr:rowOff>
    </xdr:from>
    <xdr:to>
      <xdr:col>19</xdr:col>
      <xdr:colOff>91528</xdr:colOff>
      <xdr:row>9</xdr:row>
      <xdr:rowOff>152400</xdr:rowOff>
    </xdr:to>
    <xdr:graphicFrame macro="">
      <xdr:nvGraphicFramePr>
        <xdr:cNvPr id="20" name="Chart 19">
          <a:extLst>
            <a:ext uri="{FF2B5EF4-FFF2-40B4-BE49-F238E27FC236}">
              <a16:creationId xmlns:a16="http://schemas.microsoft.com/office/drawing/2014/main" id="{91002C97-071C-4702-8713-AC96556ECB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absolute">
    <xdr:from>
      <xdr:col>16</xdr:col>
      <xdr:colOff>127000</xdr:colOff>
      <xdr:row>9</xdr:row>
      <xdr:rowOff>57150</xdr:rowOff>
    </xdr:from>
    <xdr:to>
      <xdr:col>18</xdr:col>
      <xdr:colOff>600278</xdr:colOff>
      <xdr:row>10</xdr:row>
      <xdr:rowOff>63500</xdr:rowOff>
    </xdr:to>
    <xdr:sp macro="" textlink="">
      <xdr:nvSpPr>
        <xdr:cNvPr id="22" name="TextBox 21">
          <a:extLst>
            <a:ext uri="{FF2B5EF4-FFF2-40B4-BE49-F238E27FC236}">
              <a16:creationId xmlns:a16="http://schemas.microsoft.com/office/drawing/2014/main" id="{CE5D494A-2CFE-4346-9444-C10040E57B68}"/>
            </a:ext>
          </a:extLst>
        </xdr:cNvPr>
        <xdr:cNvSpPr txBox="1"/>
      </xdr:nvSpPr>
      <xdr:spPr>
        <a:xfrm>
          <a:off x="9944100" y="1714500"/>
          <a:ext cx="1692478"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0" i="0" u="none" strike="noStrike">
              <a:solidFill>
                <a:schemeClr val="tx1"/>
              </a:solidFill>
              <a:latin typeface="Aptos Narrow"/>
            </a:rPr>
            <a:t>Patients</a:t>
          </a:r>
          <a:r>
            <a:rPr lang="en-IN" sz="900" b="0" i="0" u="none" strike="noStrike" baseline="0">
              <a:solidFill>
                <a:schemeClr val="tx1"/>
              </a:solidFill>
              <a:latin typeface="Aptos Narrow"/>
            </a:rPr>
            <a:t> Satisfaction Score Analysis</a:t>
          </a:r>
          <a:endParaRPr lang="en-IN" sz="900" b="0" i="0" u="none" strike="noStrike">
            <a:solidFill>
              <a:schemeClr val="tx1"/>
            </a:solidFill>
            <a:latin typeface="Aptos Narrow"/>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127000</xdr:colOff>
      <xdr:row>1</xdr:row>
      <xdr:rowOff>139700</xdr:rowOff>
    </xdr:from>
    <xdr:to>
      <xdr:col>14</xdr:col>
      <xdr:colOff>154214</xdr:colOff>
      <xdr:row>20</xdr:row>
      <xdr:rowOff>36286</xdr:rowOff>
    </xdr:to>
    <xdr:graphicFrame macro="">
      <xdr:nvGraphicFramePr>
        <xdr:cNvPr id="2" name="Chart 1">
          <a:extLst>
            <a:ext uri="{FF2B5EF4-FFF2-40B4-BE49-F238E27FC236}">
              <a16:creationId xmlns:a16="http://schemas.microsoft.com/office/drawing/2014/main" id="{A0AEB1B8-FB6B-452B-B137-93E148BD6D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149003</xdr:colOff>
      <xdr:row>1</xdr:row>
      <xdr:rowOff>104553</xdr:rowOff>
    </xdr:from>
    <xdr:to>
      <xdr:col>0</xdr:col>
      <xdr:colOff>536798</xdr:colOff>
      <xdr:row>3</xdr:row>
      <xdr:rowOff>124048</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95053A6F-3489-01E8-2E7B-45788802AD4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9003" y="288703"/>
          <a:ext cx="387795" cy="38779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209549</xdr:colOff>
      <xdr:row>2</xdr:row>
      <xdr:rowOff>139700</xdr:rowOff>
    </xdr:from>
    <xdr:to>
      <xdr:col>22</xdr:col>
      <xdr:colOff>489857</xdr:colOff>
      <xdr:row>31</xdr:row>
      <xdr:rowOff>1</xdr:rowOff>
    </xdr:to>
    <xdr:graphicFrame macro="">
      <xdr:nvGraphicFramePr>
        <xdr:cNvPr id="2" name="Chart 1">
          <a:extLst>
            <a:ext uri="{FF2B5EF4-FFF2-40B4-BE49-F238E27FC236}">
              <a16:creationId xmlns:a16="http://schemas.microsoft.com/office/drawing/2014/main" id="{6B068F0F-9992-4A98-B573-DFE22FCE27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325325</xdr:colOff>
      <xdr:row>3</xdr:row>
      <xdr:rowOff>44109</xdr:rowOff>
    </xdr:from>
    <xdr:to>
      <xdr:col>1</xdr:col>
      <xdr:colOff>144114</xdr:colOff>
      <xdr:row>5</xdr:row>
      <xdr:rowOff>107827</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A93C938B-B241-4D6C-B800-355D2422C3B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25325" y="588395"/>
          <a:ext cx="426575" cy="4265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370417</xdr:colOff>
      <xdr:row>1</xdr:row>
      <xdr:rowOff>66144</xdr:rowOff>
    </xdr:from>
    <xdr:to>
      <xdr:col>17</xdr:col>
      <xdr:colOff>185209</xdr:colOff>
      <xdr:row>22</xdr:row>
      <xdr:rowOff>132292</xdr:rowOff>
    </xdr:to>
    <xdr:graphicFrame macro="">
      <xdr:nvGraphicFramePr>
        <xdr:cNvPr id="2" name="Chart 1">
          <a:extLst>
            <a:ext uri="{FF2B5EF4-FFF2-40B4-BE49-F238E27FC236}">
              <a16:creationId xmlns:a16="http://schemas.microsoft.com/office/drawing/2014/main" id="{5B49DFB8-019E-4B57-959E-8987CFABE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476251</xdr:colOff>
      <xdr:row>1</xdr:row>
      <xdr:rowOff>165365</xdr:rowOff>
    </xdr:from>
    <xdr:to>
      <xdr:col>1</xdr:col>
      <xdr:colOff>294284</xdr:colOff>
      <xdr:row>4</xdr:row>
      <xdr:rowOff>36315</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369C0875-125D-413B-A9E3-D6D95949227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76251" y="350573"/>
          <a:ext cx="426575" cy="4265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IR HASAN MONDAL" refreshedDate="46188.464073263887" createdVersion="5" refreshedVersion="8" minRefreshableVersion="3" recordCount="0" supportSubquery="1" supportAdvancedDrill="1" xr:uid="{362C9B6A-3B46-465B-957E-522E9BE5280D}">
  <cacheSource type="external" connectionId="3"/>
  <cacheFields count="4">
    <cacheField name="[Calender_Table].[Date (Month)].[Date (Month)]" caption="Date (Month)" numFmtId="0" hierarchy="1" level="1">
      <sharedItems count="1">
        <s v="Dec"/>
      </sharedItems>
    </cacheField>
    <cacheField name="[Calender_Table].[Date].[Date]" caption="Date" numFmtId="0" level="1">
      <sharedItems containsSemiMixedTypes="0" containsNonDate="0" containsDate="1" containsString="0" minDate="2023-12-01T00:00:00" maxDate="2025-01-01T00:00:00" count="62">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Calender_Table].[Date (Quarter)].[Date (Quarter)]" caption="Date (Quarter)" numFmtId="0" hierarchy="4" level="1">
      <sharedItems count="1">
        <s v="Qtr4"/>
      </sharedItems>
    </cacheField>
    <cacheField name="[Calender_Table].[Date (Year)].[Date (Year)]" caption="Date (Year)" numFmtId="0" hierarchy="3" level="1">
      <sharedItems count="1">
        <s v="2023"/>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IR HASAN MONDAL" refreshedDate="46188.464073611111" createdVersion="5" refreshedVersion="8" minRefreshableVersion="3" recordCount="0" supportSubquery="1" supportAdvancedDrill="1" xr:uid="{C6660D08-29B9-4BD7-BF3F-7956211B61CE}">
  <cacheSource type="external" connectionId="3"/>
  <cacheFields count="3">
    <cacheField name="[Measures].[Distinct Count of Patient Id]" caption="Distinct Count of Patient Id" numFmtId="0" hierarchy="24" level="32767"/>
    <cacheField name="[Calender_Table].[Date (Year)].[Date (Year)]" caption="Date (Year)" numFmtId="0" hierarchy="3" level="1">
      <sharedItems containsSemiMixedTypes="0" containsNonDate="0" containsString="0"/>
    </cacheField>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IR HASAN MONDAL" refreshedDate="46188.464074074072" createdVersion="5" refreshedVersion="8" minRefreshableVersion="3" recordCount="0" supportSubquery="1" supportAdvancedDrill="1" xr:uid="{BBDACD5D-CF8E-4631-8FE6-E5B82B8483A2}">
  <cacheSource type="external" connectionId="3"/>
  <cacheFields count="4">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1" level="32767"/>
    <cacheField name="[Calender_Table].[Date (Year)].[Date (Year)]" caption="Date (Year)" numFmtId="0" hierarchy="3" level="1">
      <sharedItems containsSemiMixedTypes="0" containsNonDate="0" containsString="0"/>
    </cacheField>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3"/>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0"/>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IR HASAN MONDAL" refreshedDate="46188.464074768519" createdVersion="5" refreshedVersion="8" minRefreshableVersion="3" recordCount="0" supportSubquery="1" supportAdvancedDrill="1" xr:uid="{F603FB49-2249-4255-84FA-E721AB2E105C}">
  <cacheSource type="external" connectionId="3"/>
  <cacheFields count="4">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 name="[Calender_Table].[Date (Year)].[Date (Year)]" caption="Date (Year)" numFmtId="0" hierarchy="3" level="1">
      <sharedItems containsSemiMixedTypes="0" containsNonDate="0" containsString="0"/>
    </cacheField>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3"/>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0"/>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IR HASAN MONDAL" refreshedDate="46188.464075115742" createdVersion="5" refreshedVersion="8" minRefreshableVersion="3" recordCount="0" supportSubquery="1" supportAdvancedDrill="1" xr:uid="{AA629BB1-375A-4856-B3AF-D3990DE9EB85}">
  <cacheSource type="external" connectionId="3"/>
  <cacheFields count="3">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IR HASAN MONDAL" refreshedDate="46188.464075462965" createdVersion="5" refreshedVersion="8" minRefreshableVersion="3" recordCount="0" supportSubquery="1" supportAdvancedDrill="1" xr:uid="{30520EB4-C5D6-4EBE-86C7-9C354E0E1B6E}">
  <cacheSource type="external" connectionId="3"/>
  <cacheFields count="3">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IR HASAN MONDAL" refreshedDate="46188.464076041666" createdVersion="5" refreshedVersion="8" minRefreshableVersion="3" recordCount="0" supportSubquery="1" supportAdvancedDrill="1" xr:uid="{4396A04F-935D-4F01-8D90-EA592553E494}">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Year)].[Date (Year)]" caption="Date (Year)" numFmtId="0" hierarchy="3" level="1">
      <sharedItems containsSemiMixedTypes="0" containsNonDate="0" containsString="0"/>
    </cacheField>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3"/>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IR HASAN MONDAL" refreshedDate="46188.464076736112" createdVersion="5" refreshedVersion="8" minRefreshableVersion="3" recordCount="0" supportSubquery="1" supportAdvancedDrill="1" xr:uid="{624EB336-9718-4458-8AAB-53380D64269F}">
  <cacheSource type="external" connectionId="3"/>
  <cacheFields count="4">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3"/>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IR HASAN MONDAL" refreshedDate="46188.464077546298" createdVersion="5" refreshedVersion="8" minRefreshableVersion="3" recordCount="0" supportSubquery="1" supportAdvancedDrill="1" xr:uid="{E7778368-B3BE-47CD-9D9B-8C944ED90EB5}">
  <cacheSource type="external" connectionId="3"/>
  <cacheFields count="4">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3"/>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IR HASAN MONDAL" refreshedDate="46188.464078124998" createdVersion="5" refreshedVersion="8" minRefreshableVersion="3" recordCount="0" supportSubquery="1" supportAdvancedDrill="1" xr:uid="{BBD3B39B-28E8-4450-B12A-46EEC609656A}">
  <cacheSource type="external" connectionId="3"/>
  <cacheFields count="4">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0" level="32767"/>
    <cacheField name="[Calender_Table].[Date (Year)].[Date (Year)]" caption="Date (Year)" numFmtId="0" hierarchy="3" level="1">
      <sharedItems containsSemiMixedTypes="0" containsNonDate="0" containsString="0"/>
    </cacheField>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3"/>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IR HASAN MONDAL" refreshedDate="46188.464078703706" createdVersion="5" refreshedVersion="8" minRefreshableVersion="3" recordCount="0" supportSubquery="1" supportAdvancedDrill="1" xr:uid="{5C5BF646-58BE-46B2-8EB6-448606A5D6CA}">
  <cacheSource type="external" connectionId="3"/>
  <cacheFields count="4">
    <cacheField name="[Hospital Emergency Room Data].[Patient Attend Status].[Patient Attend Status]" caption="Patient Attend Status" numFmtId="0" hierarchy="17" level="1">
      <sharedItems count="2">
        <s v="Delay"/>
        <s v="Ontime"/>
      </sharedItems>
    </cacheField>
    <cacheField name="[Measures].[Count of Patient Id]" caption="Count of Patient Id" numFmtId="0" hierarchy="23" level="32767"/>
    <cacheField name="[Calender_Table].[Date (Year)].[Date (Year)]" caption="Date (Year)" numFmtId="0" hierarchy="3" level="1">
      <sharedItems containsSemiMixedTypes="0" containsNonDate="0" containsString="0"/>
    </cacheField>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3"/>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0"/>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IR HASAN MONDAL" refreshedDate="46188.464079282407" createdVersion="5" refreshedVersion="8" minRefreshableVersion="3" recordCount="0" supportSubquery="1" supportAdvancedDrill="1" xr:uid="{516727EE-C6C3-48FB-ADC0-78A7425DB52F}">
  <cacheSource type="external" connectionId="3"/>
  <cacheFields count="5">
    <cacheField name="[Calender_Table].[Date (Year)].[Date (Year)]" caption="Date (Year)" numFmtId="0" hierarchy="3" level="1">
      <sharedItems containsSemiMixedTypes="0" containsNonDate="0" containsString="0"/>
    </cacheField>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0"/>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3"/>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IR HASAN MONDAL" refreshedDate="46188.464079976853" createdVersion="5" refreshedVersion="8" minRefreshableVersion="3" recordCount="0" supportSubquery="1" supportAdvancedDrill="1" xr:uid="{908CCC7B-CC26-40F9-942A-F9C886315262}">
  <cacheSource type="external" connectionId="3"/>
  <cacheFields count="4">
    <cacheField name="[Calender_Table].[Date (Year)].[Date (Year)]" caption="Date (Year)" numFmtId="0" hierarchy="3" level="1">
      <sharedItems containsSemiMixedTypes="0" containsNonDate="0" containsString="0"/>
    </cacheField>
    <cacheField name="[Calender_Table].[Date (Month)].[Date (Month)]" caption="Date (Month)" numFmtId="0" hierarchy="1" level="1">
      <sharedItems containsSemiMixedTypes="0" containsNonDate="0" containsString="0"/>
    </cacheField>
    <cacheField name="[Hospital Emergency Room Data].[Patient Race].[Patient Race]" caption="Patient Race" numFmtId="0" hierarchy="11" level="1">
      <sharedItems count="7">
        <s v="African American"/>
        <s v="Asian"/>
        <s v="Declined to Identify"/>
        <s v="Native American/Alaska Native"/>
        <s v="Pacific Islander"/>
        <s v="Two or More Races"/>
        <s v="White"/>
      </sharedItems>
    </cacheField>
    <cacheField name="[Measures].[Count of Patient Race]" caption="Count of Patient Race" numFmtId="0" hierarchy="33" level="32767"/>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0"/>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fieldsUsage count="2">
        <fieldUsage x="-1"/>
        <fieldUsage x="2"/>
      </fieldsUsage>
    </cacheHierarchy>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Race]" caption="Count of Patient Race" measure="1" displayFolder="" measureGroup="Hospital Emergency Room Data" count="0" oneField="1" hidden="1">
      <fieldsUsage count="1">
        <fieldUsage x="3"/>
      </fieldsUsage>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IR HASAN MONDAL" refreshedDate="46188.464080555554" createdVersion="5" refreshedVersion="8" minRefreshableVersion="3" recordCount="0" supportSubquery="1" supportAdvancedDrill="1" xr:uid="{C3F7BACF-9625-4BDA-9CD0-AD2FEE1AD603}">
  <cacheSource type="external" connectionId="3"/>
  <cacheFields count="4">
    <cacheField name="[Calender_Table].[Date (Year)].[Date (Year)]" caption="Date (Year)" numFmtId="0" hierarchy="3" level="1">
      <sharedItems containsSemiMixedTypes="0" containsNonDate="0" containsString="0"/>
    </cacheField>
    <cacheField name="[Calender_Table].[Date (Month)].[Date (Month)]" caption="Date (Month)" numFmtId="0" hierarchy="1" level="1">
      <sharedItems containsSemiMixedTypes="0" containsNonDate="0" containsString="0"/>
    </cacheField>
    <cacheField name="[Hospital Emergency Room Data].[Patient Satisfaction Score].[Patient Satisfaction Score]" caption="Patient Satisfaction Score" numFmtId="0" hierarchy="14" level="1">
      <sharedItems containsSemiMixedTypes="0" containsString="0" containsNumber="1" containsInteger="1" minValue="0" maxValue="10" count="11">
        <n v="0"/>
        <n v="1"/>
        <n v="2"/>
        <n v="3"/>
        <n v="4"/>
        <n v="5"/>
        <n v="6"/>
        <n v="7"/>
        <n v="8"/>
        <n v="9"/>
        <n v="10"/>
      </sharedItems>
      <extLst>
        <ext xmlns:x15="http://schemas.microsoft.com/office/spreadsheetml/2010/11/main" uri="{4F2E5C28-24EA-4eb8-9CBF-B6C8F9C3D259}">
          <x15:cachedUniqueNames>
            <x15:cachedUniqueName index="0" name="[Hospital Emergency Room Data].[Patient Satisfaction Score].&amp;[0]"/>
            <x15:cachedUniqueName index="1" name="[Hospital Emergency Room Data].[Patient Satisfaction Score].&amp;[1]"/>
            <x15:cachedUniqueName index="2" name="[Hospital Emergency Room Data].[Patient Satisfaction Score].&amp;[2]"/>
            <x15:cachedUniqueName index="3" name="[Hospital Emergency Room Data].[Patient Satisfaction Score].&amp;[3]"/>
            <x15:cachedUniqueName index="4" name="[Hospital Emergency Room Data].[Patient Satisfaction Score].&amp;[4]"/>
            <x15:cachedUniqueName index="5" name="[Hospital Emergency Room Data].[Patient Satisfaction Score].&amp;[5]"/>
            <x15:cachedUniqueName index="6" name="[Hospital Emergency Room Data].[Patient Satisfaction Score].&amp;[6]"/>
            <x15:cachedUniqueName index="7" name="[Hospital Emergency Room Data].[Patient Satisfaction Score].&amp;[7]"/>
            <x15:cachedUniqueName index="8" name="[Hospital Emergency Room Data].[Patient Satisfaction Score].&amp;[8]"/>
            <x15:cachedUniqueName index="9" name="[Hospital Emergency Room Data].[Patient Satisfaction Score].&amp;[9]"/>
            <x15:cachedUniqueName index="10" name="[Hospital Emergency Room Data].[Patient Satisfaction Score].&amp;[10]"/>
          </x15:cachedUniqueNames>
        </ext>
      </extLst>
    </cacheField>
    <cacheField name="[Measures].[Sum of Patient Satisfaction Score]" caption="Sum of Patient Satisfaction Score" numFmtId="0" hierarchy="27" level="32767"/>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0"/>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fieldsUsage count="2">
        <fieldUsage x="-1"/>
        <fieldUsage x="2"/>
      </fieldsUsage>
    </cacheHierarchy>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oneField="1" hidden="1">
      <fieldsUsage count="1">
        <fieldUsage x="3"/>
      </fieldsUsage>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IR HASAN MONDAL" refreshedDate="46186.958549884257" createdVersion="3" refreshedVersion="8" minRefreshableVersion="3" recordCount="0" supportSubquery="1" supportAdvancedDrill="1" xr:uid="{A016754A-7D16-43F0-B3A5-84DE6801BE4C}">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61157708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D97B38-7D79-4119-87F4-7633C5938D43}" name="PivotTable9" cacheId="299" applyNumberFormats="0" applyBorderFormats="0" applyFontFormats="0" applyPatternFormats="0" applyAlignmentFormats="0" applyWidthHeightFormats="1" dataCaption="Values" tag="ee5e896f-2c62-40c0-ae1f-af586b620640" updatedVersion="8" minRefreshableVersion="3" subtotalHiddenItems="1" itemPrintTitles="1" createdVersion="5" indent="0" outline="1" outlineData="1" multipleFieldFilters="0" chartFormat="21">
  <location ref="A66:B69"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Id" fld="1" subtotal="count" baseField="0" baseItem="0"/>
  </dataFields>
  <formats count="4">
    <format dxfId="528">
      <pivotArea outline="0" collapsedLevelsAreSubtotals="1" fieldPosition="0"/>
    </format>
    <format dxfId="527">
      <pivotArea dataOnly="0" labelOnly="1" outline="0" axis="axisValues" fieldPosition="0"/>
    </format>
    <format dxfId="526">
      <pivotArea dataOnly="0" labelOnly="1" outline="0" axis="axisValues" fieldPosition="0"/>
    </format>
    <format dxfId="525">
      <pivotArea outline="0" collapsedLevelsAreSubtotals="1" fieldPosition="0"/>
    </format>
  </formats>
  <chartFormats count="3">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0" count="1" selected="0">
            <x v="0"/>
          </reference>
        </references>
      </pivotArea>
    </chartFormat>
    <chartFormat chart="19" format="6">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48424A-C34F-460D-BA35-8EBF1A4087E6}" name="PivotTable15" cacheId="308" applyNumberFormats="0" applyBorderFormats="0" applyFontFormats="0" applyPatternFormats="0" applyAlignmentFormats="0" applyWidthHeightFormats="1" dataCaption="Values" tag="ee5e896f-2c62-40c0-ae1f-af586b620640" updatedVersion="8" minRefreshableVersion="3" itemPrintTitles="1" createdVersion="5" indent="0" outline="1" outlineData="1" multipleFieldFilters="0" chartFormat="17">
  <location ref="W24:X36"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s>
  <rowFields count="1">
    <field x="2"/>
  </rowFields>
  <rowItems count="12">
    <i>
      <x/>
    </i>
    <i>
      <x v="1"/>
    </i>
    <i>
      <x v="2"/>
    </i>
    <i>
      <x v="3"/>
    </i>
    <i>
      <x v="4"/>
    </i>
    <i>
      <x v="5"/>
    </i>
    <i>
      <x v="6"/>
    </i>
    <i>
      <x v="7"/>
    </i>
    <i>
      <x v="8"/>
    </i>
    <i>
      <x v="9"/>
    </i>
    <i>
      <x v="10"/>
    </i>
    <i t="grand">
      <x/>
    </i>
  </rowItems>
  <colItems count="1">
    <i/>
  </colItems>
  <dataFields count="1">
    <dataField name="Sum of Patient Satisfaction Score" fld="3" baseField="0" baseItem="0"/>
  </dataFields>
  <formats count="4">
    <format dxfId="532">
      <pivotArea outline="0" collapsedLevelsAreSubtotals="1" fieldPosition="0"/>
    </format>
    <format dxfId="531">
      <pivotArea dataOnly="0" labelOnly="1" outline="0" axis="axisValues" fieldPosition="0"/>
    </format>
    <format dxfId="530">
      <pivotArea dataOnly="0" labelOnly="1" outline="0" axis="axisValues" fieldPosition="0"/>
    </format>
    <format dxfId="529">
      <pivotArea outline="0" collapsedLevelsAreSubtotals="1" fieldPosition="0"/>
    </format>
  </formats>
  <chartFormats count="3">
    <chartFormat chart="1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CB28CB-4E08-4A79-A57B-89187BE86429}" name="PivotTable10" cacheId="275" applyNumberFormats="0" applyBorderFormats="0" applyFontFormats="0" applyPatternFormats="0" applyAlignmentFormats="0" applyWidthHeightFormats="1" dataCaption="Values" tag="ee5e896f-2c62-40c0-ae1f-af586b620640" updatedVersion="8" minRefreshableVersion="3" subtotalHiddenItems="1" itemPrintTitles="1" createdVersion="5" indent="0" outline="1" outlineData="1" multipleFieldFilters="0" chartFormat="30">
  <location ref="A73:B76"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Gender" fld="1" subtotal="count" baseField="0" baseItem="0"/>
  </dataFields>
  <formats count="4">
    <format dxfId="536">
      <pivotArea outline="0" collapsedLevelsAreSubtotals="1" fieldPosition="0"/>
    </format>
    <format dxfId="535">
      <pivotArea dataOnly="0" labelOnly="1" outline="0" axis="axisValues" fieldPosition="0"/>
    </format>
    <format dxfId="534">
      <pivotArea dataOnly="0" labelOnly="1" outline="0" axis="axisValues" fieldPosition="0"/>
    </format>
    <format dxfId="533">
      <pivotArea outline="0" collapsedLevelsAreSubtotals="1" fieldPosition="0"/>
    </format>
  </formats>
  <chartFormats count="3">
    <chartFormat chart="24" format="4" series="1">
      <pivotArea type="data" outline="0" fieldPosition="0">
        <references count="1">
          <reference field="4294967294" count="1" selected="0">
            <x v="0"/>
          </reference>
        </references>
      </pivotArea>
    </chartFormat>
    <chartFormat chart="24" format="5">
      <pivotArea type="data" outline="0" fieldPosition="0">
        <references count="2">
          <reference field="4294967294" count="1" selected="0">
            <x v="0"/>
          </reference>
          <reference field="0" count="1" selected="0">
            <x v="0"/>
          </reference>
        </references>
      </pivotArea>
    </chartFormat>
    <chartFormat chart="24" format="6">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C606AB-1D45-401E-A719-F8CE17880695}" name="PivotTable5" cacheId="290" applyNumberFormats="0" applyBorderFormats="0" applyFontFormats="0" applyPatternFormats="0" applyAlignmentFormats="0" applyWidthHeightFormats="1" dataCaption="Values" tag="b70d1c43-fcc8-4f9d-b6bb-4244a2a7c103" updatedVersion="8" minRefreshableVersion="3" itemPrintTitles="1" createdVersion="5" indent="0" outline="1" outlineData="1" multipleFieldFilters="0" chartFormat="41">
  <location ref="I4:J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1" subtotal="average" baseField="0" baseItem="0" numFmtId="2"/>
  </dataFields>
  <formats count="9">
    <format dxfId="545">
      <pivotArea outline="0" collapsedLevelsAreSubtotals="1" fieldPosition="0"/>
    </format>
    <format dxfId="544">
      <pivotArea dataOnly="0" labelOnly="1" outline="0" axis="axisValues" fieldPosition="0"/>
    </format>
    <format dxfId="543">
      <pivotArea type="all" dataOnly="0" outline="0" fieldPosition="0"/>
    </format>
    <format dxfId="542">
      <pivotArea outline="0" collapsedLevelsAreSubtotals="1" fieldPosition="0"/>
    </format>
    <format dxfId="541">
      <pivotArea field="0" type="button" dataOnly="0" labelOnly="1" outline="0" axis="axisRow" fieldPosition="0"/>
    </format>
    <format dxfId="540">
      <pivotArea dataOnly="0" labelOnly="1" fieldPosition="0">
        <references count="1">
          <reference field="0" count="0"/>
        </references>
      </pivotArea>
    </format>
    <format dxfId="539">
      <pivotArea dataOnly="0" labelOnly="1" grandRow="1" outline="0" fieldPosition="0"/>
    </format>
    <format dxfId="538">
      <pivotArea dataOnly="0" labelOnly="1" outline="0" axis="axisValues" fieldPosition="0"/>
    </format>
    <format dxfId="537">
      <pivotArea outline="0" collapsedLevelsAreSubtotals="1" fieldPosition="0"/>
    </format>
  </formats>
  <chartFormats count="2">
    <chartFormat chart="35" format="2" series="1">
      <pivotArea type="data" outline="0" fieldPosition="0">
        <references count="1">
          <reference field="4294967294" count="1" selected="0">
            <x v="0"/>
          </reference>
        </references>
      </pivotArea>
    </chartFormat>
    <chartFormat chart="39" format="6"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B6BDF3-BEF7-4B50-A916-BCBC8C9B79E1}" name="PivotTable14" cacheId="305" applyNumberFormats="0" applyBorderFormats="0" applyFontFormats="0" applyPatternFormats="0" applyAlignmentFormats="0" applyWidthHeightFormats="1" dataCaption="Values" tag="ee5e896f-2c62-40c0-ae1f-af586b620640" updatedVersion="8" minRefreshableVersion="3" itemPrintTitles="1" createdVersion="5" indent="0" outline="1" outlineData="1" multipleFieldFilters="0" chartFormat="6">
  <location ref="S24:T32"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2"/>
  </rowFields>
  <rowItems count="8">
    <i>
      <x/>
    </i>
    <i>
      <x v="1"/>
    </i>
    <i>
      <x v="2"/>
    </i>
    <i>
      <x v="3"/>
    </i>
    <i>
      <x v="4"/>
    </i>
    <i>
      <x v="5"/>
    </i>
    <i>
      <x v="6"/>
    </i>
    <i t="grand">
      <x/>
    </i>
  </rowItems>
  <colItems count="1">
    <i/>
  </colItems>
  <dataFields count="1">
    <dataField name="Count of Patient Race" fld="3" subtotal="count" baseField="0" baseItem="0"/>
  </dataFields>
  <formats count="4">
    <format dxfId="549">
      <pivotArea outline="0" collapsedLevelsAreSubtotals="1" fieldPosition="0"/>
    </format>
    <format dxfId="548">
      <pivotArea dataOnly="0" labelOnly="1" outline="0" axis="axisValues" fieldPosition="0"/>
    </format>
    <format dxfId="547">
      <pivotArea dataOnly="0" labelOnly="1" outline="0" axis="axisValues" fieldPosition="0"/>
    </format>
    <format dxfId="546">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B5FD6B-F5E1-49B9-87C6-5B15D708D942}" name="PivotTable12" cacheId="269" applyNumberFormats="0" applyBorderFormats="0" applyFontFormats="0" applyPatternFormats="0" applyAlignmentFormats="0" applyWidthHeightFormats="1" dataCaption="Values" tag="ee5e896f-2c62-40c0-ae1f-af586b620640" updatedVersion="8" minRefreshableVersion="3" subtotalHiddenItems="1" itemPrintTitles="1" createdVersion="5" indent="0" outline="1" outlineData="1" multipleFieldFilters="0" chartFormat="34">
  <location ref="A94:A96"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4">
    <format dxfId="553">
      <pivotArea outline="0" collapsedLevelsAreSubtotals="1" fieldPosition="0"/>
    </format>
    <format dxfId="552">
      <pivotArea dataOnly="0" labelOnly="1" outline="0" axis="axisValues" fieldPosition="0"/>
    </format>
    <format dxfId="551">
      <pivotArea dataOnly="0" labelOnly="1" outline="0" axis="axisValues" fieldPosition="0"/>
    </format>
    <format dxfId="550">
      <pivotArea outline="0" collapsedLevelsAreSubtotals="1" fieldPosition="0"/>
    </format>
  </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740990-814C-41F5-AD26-09FA61BE78F6}" name="PivotTable2" cacheId="281" applyNumberFormats="0" applyBorderFormats="0" applyFontFormats="0" applyPatternFormats="0" applyAlignmentFormats="0" applyWidthHeightFormats="1" dataCaption="Values" tag="ab33695d-a0e6-479b-b533-b148d573f4db" updatedVersion="8" minRefreshableVersion="3"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4">
    <format dxfId="557">
      <pivotArea outline="0" collapsedLevelsAreSubtotals="1" fieldPosition="0"/>
    </format>
    <format dxfId="556">
      <pivotArea dataOnly="0" labelOnly="1" outline="0" axis="axisValues" fieldPosition="0"/>
    </format>
    <format dxfId="555">
      <pivotArea outline="0" collapsedLevelsAreSubtotals="1" fieldPosition="0"/>
    </format>
    <format dxfId="554">
      <pivotArea dataOnly="0" labelOnly="1" outline="0" axis="axisValues" fieldPosition="0"/>
    </format>
  </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5C5401-D917-4378-BFE8-EEEB801A6D69}" name="PivotTable1" cacheId="272" applyNumberFormats="0" applyBorderFormats="0" applyFontFormats="0" applyPatternFormats="0" applyAlignmentFormats="0" applyWidthHeightFormats="1" dataCaption="Values" tag="b70d1c43-fcc8-4f9d-b6bb-4244a2a7c103" updatedVersion="8" minRefreshableVersion="3"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2">
    <format dxfId="559">
      <pivotArea outline="0" collapsedLevelsAreSubtotals="1" fieldPosition="0"/>
    </format>
    <format dxfId="558">
      <pivotArea dataOnly="0" labelOnly="1" outline="0" axis="axisValues" fieldPosition="0"/>
    </format>
  </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F8DD3A9-BB98-4048-8C36-48C409CA346C}" name="PivotTable4" cacheId="287" applyNumberFormats="0" applyBorderFormats="0" applyFontFormats="0" applyPatternFormats="0" applyAlignmentFormats="0" applyWidthHeightFormats="1" dataCaption="Values" tag="b70d1c43-fcc8-4f9d-b6bb-4244a2a7c103" updatedVersion="8" minRefreshableVersion="3" itemPrintTitles="1" createdVersion="5" indent="0" outline="1" outlineData="1" multipleFieldFilters="0" chartFormat="32">
  <location ref="D4:E35" firstHeaderRow="1" firstDataRow="1" firstDataCol="1"/>
  <pivotFields count="4">
    <pivotField dataField="1" subtotalTop="0" showAll="0" defaultSubtotal="0"/>
    <pivotField axis="axisRow" allDrilled="1" subtotalTop="0" showAll="0"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8">
    <format dxfId="567">
      <pivotArea outline="0" collapsedLevelsAreSubtotals="1" fieldPosition="0"/>
    </format>
    <format dxfId="566">
      <pivotArea dataOnly="0" labelOnly="1" outline="0" axis="axisValues" fieldPosition="0"/>
    </format>
    <format dxfId="565">
      <pivotArea type="all" dataOnly="0" outline="0" fieldPosition="0"/>
    </format>
    <format dxfId="564">
      <pivotArea outline="0" collapsedLevelsAreSubtotals="1" fieldPosition="0"/>
    </format>
    <format dxfId="563">
      <pivotArea field="1" type="button" dataOnly="0" labelOnly="1" outline="0" axis="axisRow" fieldPosition="0"/>
    </format>
    <format dxfId="562">
      <pivotArea dataOnly="0" labelOnly="1" fieldPosition="0">
        <references count="1">
          <reference field="1" count="0"/>
        </references>
      </pivotArea>
    </format>
    <format dxfId="561">
      <pivotArea dataOnly="0" labelOnly="1" grandRow="1" outline="0" fieldPosition="0"/>
    </format>
    <format dxfId="560">
      <pivotArea dataOnly="0" labelOnly="1" outline="0" axis="axisValues" fieldPosition="0"/>
    </format>
  </formats>
  <chartFormats count="3">
    <chartFormat chart="6" format="5"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3AAF4A4-CB3E-45CC-A1E1-AEEB5051F1E5}" name="PivotTable8" cacheId="296" applyNumberFormats="0" applyBorderFormats="0" applyFontFormats="0" applyPatternFormats="0" applyAlignmentFormats="0" applyWidthHeightFormats="1" dataCaption="Values" tag="ee5e896f-2c62-40c0-ae1f-af586b620640" updatedVersion="8" minRefreshableVersion="3" subtotalHiddenItems="1" itemPrintTitles="1" createdVersion="5" indent="0" outline="1" outlineData="1" multipleFieldFilters="0" chartFormat="12">
  <location ref="A54:B63" firstHeaderRow="1"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numFmtId="1"/>
  </dataFields>
  <formats count="4">
    <format dxfId="571">
      <pivotArea outline="0" collapsedLevelsAreSubtotals="1" fieldPosition="0"/>
    </format>
    <format dxfId="570">
      <pivotArea dataOnly="0" labelOnly="1" outline="0" axis="axisValues" fieldPosition="0"/>
    </format>
    <format dxfId="569">
      <pivotArea dataOnly="0" labelOnly="1" outline="0" axis="axisValues" fieldPosition="0"/>
    </format>
    <format dxfId="568">
      <pivotArea outline="0" collapsedLevelsAreSubtotals="1" fieldPosition="0"/>
    </format>
  </formats>
  <chartFormats count="1">
    <chartFormat chart="1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D10F10D-3480-450B-AA46-EDFBAB934BD8}" name="PivotTable6" cacheId="293" applyNumberFormats="0" applyBorderFormats="0" applyFontFormats="0" applyPatternFormats="0" applyAlignmentFormats="0" applyWidthHeightFormats="1" dataCaption="Values" tag="b70d1c43-fcc8-4f9d-b6bb-4244a2a7c103" updatedVersion="8" minRefreshableVersion="3" itemPrintTitles="1" createdVersion="5" indent="0" outline="1" outlineData="1" multipleFieldFilters="0" chartFormat="51">
  <location ref="M4:N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1" subtotal="average" baseField="0" baseItem="0"/>
  </dataFields>
  <formats count="15">
    <format dxfId="586">
      <pivotArea outline="0" collapsedLevelsAreSubtotals="1" fieldPosition="0"/>
    </format>
    <format dxfId="585">
      <pivotArea dataOnly="0" labelOnly="1" outline="0" axis="axisValues" fieldPosition="0"/>
    </format>
    <format dxfId="584">
      <pivotArea type="all" dataOnly="0" outline="0" fieldPosition="0"/>
    </format>
    <format dxfId="583">
      <pivotArea outline="0" collapsedLevelsAreSubtotals="1" fieldPosition="0"/>
    </format>
    <format dxfId="582">
      <pivotArea field="0" type="button" dataOnly="0" labelOnly="1" outline="0" axis="axisRow" fieldPosition="0"/>
    </format>
    <format dxfId="581">
      <pivotArea dataOnly="0" labelOnly="1" fieldPosition="0">
        <references count="1">
          <reference field="0" count="0"/>
        </references>
      </pivotArea>
    </format>
    <format dxfId="580">
      <pivotArea dataOnly="0" labelOnly="1" grandRow="1" outline="0" fieldPosition="0"/>
    </format>
    <format dxfId="579">
      <pivotArea dataOnly="0" labelOnly="1" outline="0" axis="axisValues" fieldPosition="0"/>
    </format>
    <format dxfId="578">
      <pivotArea outline="0" collapsedLevelsAreSubtotals="1" fieldPosition="0"/>
    </format>
    <format dxfId="577">
      <pivotArea type="all" dataOnly="0" outline="0" fieldPosition="0"/>
    </format>
    <format dxfId="576">
      <pivotArea outline="0" collapsedLevelsAreSubtotals="1" fieldPosition="0"/>
    </format>
    <format dxfId="575">
      <pivotArea field="0" type="button" dataOnly="0" labelOnly="1" outline="0" axis="axisRow" fieldPosition="0"/>
    </format>
    <format dxfId="574">
      <pivotArea dataOnly="0" labelOnly="1" fieldPosition="0">
        <references count="1">
          <reference field="0" count="0"/>
        </references>
      </pivotArea>
    </format>
    <format dxfId="573">
      <pivotArea dataOnly="0" labelOnly="1" grandRow="1" outline="0" fieldPosition="0"/>
    </format>
    <format dxfId="572">
      <pivotArea dataOnly="0" labelOnly="1" outline="0" axis="axisValues" fieldPosition="0"/>
    </format>
  </formats>
  <chartFormats count="2">
    <chartFormat chart="44" format="2" series="1">
      <pivotArea type="data" outline="0" fieldPosition="0">
        <references count="1">
          <reference field="4294967294" count="1" selected="0">
            <x v="0"/>
          </reference>
        </references>
      </pivotArea>
    </chartFormat>
    <chartFormat chart="49" format="6"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5BEC9A2-0997-4136-875C-A6B5CA8FB565}" name="PivotTable11" cacheId="278" applyNumberFormats="0" applyBorderFormats="0" applyFontFormats="0" applyPatternFormats="0" applyAlignmentFormats="0" applyWidthHeightFormats="1" dataCaption="Values" tag="ee5e896f-2c62-40c0-ae1f-af586b620640" updatedVersion="8" minRefreshableVersion="3" subtotalHiddenItems="1" itemPrintTitles="1" createdVersion="5" indent="0" outline="1" outlineData="1" multipleFieldFilters="0" chartFormat="34">
  <location ref="A81:B90" firstHeaderRow="1" firstDataRow="1" firstDataCol="1"/>
  <pivotFields count="4">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v="7"/>
    </i>
    <i>
      <x v="1"/>
    </i>
    <i>
      <x/>
    </i>
    <i>
      <x v="3"/>
    </i>
    <i>
      <x v="6"/>
    </i>
    <i>
      <x v="5"/>
    </i>
    <i>
      <x v="2"/>
    </i>
    <i>
      <x v="4"/>
    </i>
    <i t="grand">
      <x/>
    </i>
  </rowItems>
  <colItems count="1">
    <i/>
  </colItems>
  <dataFields count="1">
    <dataField name="Count of Department Referral" fld="1" subtotal="count" baseField="0" baseItem="0"/>
  </dataFields>
  <formats count="4">
    <format dxfId="590">
      <pivotArea outline="0" collapsedLevelsAreSubtotals="1" fieldPosition="0"/>
    </format>
    <format dxfId="589">
      <pivotArea dataOnly="0" labelOnly="1" outline="0" axis="axisValues" fieldPosition="0"/>
    </format>
    <format dxfId="588">
      <pivotArea dataOnly="0" labelOnly="1" outline="0" axis="axisValues" fieldPosition="0"/>
    </format>
    <format dxfId="587">
      <pivotArea outline="0" collapsedLevelsAreSubtotals="1" fieldPosition="0"/>
    </format>
  </formats>
  <chartFormats count="1">
    <chartFormat chart="3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C2E4885-F42B-4BE5-8EF1-30861A4AEEDD}" name="PivotTable3" cacheId="284" applyNumberFormats="0" applyBorderFormats="0" applyFontFormats="0" applyPatternFormats="0" applyAlignmentFormats="0" applyWidthHeightFormats="1" dataCaption="Values" tag="ee5e896f-2c62-40c0-ae1f-af586b620640" updatedVersion="8" minRefreshableVersion="3" itemPrintTitles="1" createdVersion="5" indent="0" outline="1" outlineData="1" multipleFieldFilters="0">
  <location ref="A14:A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4">
    <format dxfId="594">
      <pivotArea outline="0" collapsedLevelsAreSubtotals="1" fieldPosition="0"/>
    </format>
    <format dxfId="593">
      <pivotArea dataOnly="0" labelOnly="1" outline="0" axis="axisValues" fieldPosition="0"/>
    </format>
    <format dxfId="592">
      <pivotArea outline="0" collapsedLevelsAreSubtotals="1" fieldPosition="0"/>
    </format>
    <format dxfId="591">
      <pivotArea dataOnly="0" labelOnly="1" outline="0" axis="axisValues" fieldPosition="0"/>
    </format>
  </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BEB7778-F0FD-428A-8EFE-2DC357F11175}" name="PivotTable13" cacheId="302" applyNumberFormats="0" applyBorderFormats="0" applyFontFormats="0" applyPatternFormats="0" applyAlignmentFormats="0" applyWidthHeightFormats="1" dataCaption="Values" tag="ee5e896f-2c62-40c0-ae1f-af586b620640" updatedVersion="8" minRefreshableVersion="3" itemPrintTitles="1" createdVersion="5" indent="0" outline="1" outlineData="1" multipleFieldFilters="0" chartFormat="2">
  <location ref="W3:Y6" firstHeaderRow="0" firstDataRow="1" firstDataCol="1"/>
  <pivotFields count="5">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3"/>
  </rowFields>
  <rowItems count="3">
    <i>
      <x/>
    </i>
    <i>
      <x v="1"/>
    </i>
    <i t="grand">
      <x/>
    </i>
  </rowItems>
  <colFields count="1">
    <field x="-2"/>
  </colFields>
  <colItems count="2">
    <i>
      <x/>
    </i>
    <i i="1">
      <x v="1"/>
    </i>
  </colItems>
  <dataFields count="2">
    <dataField name="Count of Patient Admission Flag" fld="2"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5">
    <format dxfId="599">
      <pivotArea outline="0" collapsedLevelsAreSubtotals="1" fieldPosition="0"/>
    </format>
    <format dxfId="598">
      <pivotArea dataOnly="0" labelOnly="1" outline="0" axis="axisValues" fieldPosition="0"/>
    </format>
    <format dxfId="597">
      <pivotArea dataOnly="0" labelOnly="1" outline="0" axis="axisValues" fieldPosition="0"/>
    </format>
    <format dxfId="596">
      <pivotArea outline="0" collapsedLevelsAreSubtotals="1" fieldPosition="0"/>
    </format>
    <format dxfId="595">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6BEBDC4-BDD5-4BE8-8140-A8F7568158C5}"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8"/>
    <pivotTable tabId="1" name="PivotTable9"/>
    <pivotTable tabId="1" name="PivotTable10"/>
    <pivotTable tabId="1" name="PivotTable11"/>
    <pivotTable tabId="1" name="PivotTable12"/>
    <pivotTable tabId="1" name="PivotTable13"/>
    <pivotTable tabId="1" name="PivotTable14"/>
    <pivotTable tabId="1" name="PivotTable15"/>
  </pivotTables>
  <data>
    <olap pivotCacheId="611577084">
      <levels count="2">
        <level uniqueName="[Calender_Table].[Date (Month)].[(All)]" sourceCaption="(All)" count="0"/>
        <level uniqueName="[Calender_Table].[Date (Month)].[Date (Month)]" sourceCaption="Date (Month)" count="12">
          <ranges>
            <range startItem="0">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i n="[Calender_Table].[Date (Month)].&amp;[Jan]" c="Jan"/>
              <i n="[Calender_Table].[Date (Month)].&amp;[Feb]" c="Feb"/>
              <i n="[Calender_Table].[Date (Month)].&amp;[Mar]" c="Mar"/>
            </range>
          </ranges>
        </level>
      </levels>
      <selections count="1">
        <selection n="[Calender_Table].[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4E07DD9-E6B7-46CE-93D3-F70899E28081}"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8"/>
    <pivotTable tabId="1" name="PivotTable9"/>
    <pivotTable tabId="1" name="PivotTable13"/>
    <pivotTable tabId="1" name="PivotTable14"/>
    <pivotTable tabId="1" name="PivotTable15"/>
  </pivotTables>
  <data>
    <olap pivotCacheId="611577084">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70D296BE-AC98-4C43-A7FE-769F3EACFD7B}" cache="Slicer_Date__Month" caption="Date (Month)" showCaption="0" level="1" style="My_Slicer_5 2" rowHeight="216000"/>
  <slicer name="Date (Year)" xr10:uid="{A1E77658-171D-492F-A879-BF43C275B145}" cache="Slicer_Date__Year" caption="Date (Year)" columnCount="2" showCaption="0" level="1" style="My_Slicer_5 2"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1D504-C37D-47E1-9685-53DE0813A22D}">
  <sheetPr>
    <tabColor theme="8" tint="-0.499984740745262"/>
  </sheetPr>
  <dimension ref="A1:AC964"/>
  <sheetViews>
    <sheetView showGridLines="0" zoomScale="85" zoomScaleNormal="85" workbookViewId="0">
      <selection activeCell="Z34" sqref="Z34"/>
    </sheetView>
  </sheetViews>
  <sheetFormatPr defaultRowHeight="14.5" x14ac:dyDescent="0.35"/>
  <cols>
    <col min="1" max="1" width="24.1796875" customWidth="1"/>
    <col min="2" max="2" width="27.453125" customWidth="1"/>
    <col min="3" max="3" width="20.26953125" customWidth="1"/>
    <col min="4" max="4" width="24.90625" customWidth="1"/>
    <col min="5" max="5" width="26.6328125" customWidth="1"/>
    <col min="9" max="9" width="18.36328125" customWidth="1"/>
    <col min="10" max="10" width="24.26953125" customWidth="1"/>
    <col min="13" max="13" width="18.453125" customWidth="1"/>
    <col min="14" max="14" width="31.26953125" customWidth="1"/>
    <col min="17" max="17" width="22.453125" customWidth="1"/>
    <col min="19" max="19" width="15.36328125" customWidth="1"/>
    <col min="20" max="20" width="19.36328125" customWidth="1"/>
    <col min="22" max="22" width="10.81640625" customWidth="1"/>
    <col min="23" max="23" width="15.36328125" customWidth="1"/>
    <col min="24" max="24" width="30.08984375" customWidth="1"/>
    <col min="25" max="25" width="19.54296875" customWidth="1"/>
    <col min="26" max="26" width="10.08984375" customWidth="1"/>
  </cols>
  <sheetData>
    <row r="1" spans="1:26" x14ac:dyDescent="0.35">
      <c r="A1" t="s">
        <v>0</v>
      </c>
    </row>
    <row r="2" spans="1:26" ht="15" thickBot="1" x14ac:dyDescent="0.4"/>
    <row r="3" spans="1:26" ht="15" thickBot="1" x14ac:dyDescent="0.4">
      <c r="A3" s="11" t="s">
        <v>2</v>
      </c>
      <c r="D3" s="51" t="s">
        <v>9</v>
      </c>
      <c r="E3" s="52"/>
      <c r="I3" s="53" t="s">
        <v>10</v>
      </c>
      <c r="J3" s="54"/>
      <c r="M3" s="51" t="s">
        <v>13</v>
      </c>
      <c r="N3" s="52"/>
      <c r="Q3" s="40"/>
      <c r="R3" s="40"/>
      <c r="S3" s="40"/>
      <c r="T3" s="40"/>
      <c r="W3" s="5" t="s">
        <v>5</v>
      </c>
      <c r="X3" t="s">
        <v>15</v>
      </c>
      <c r="Y3" t="s">
        <v>18</v>
      </c>
    </row>
    <row r="4" spans="1:26" ht="15" thickBot="1" x14ac:dyDescent="0.4">
      <c r="A4" s="1" t="s">
        <v>1</v>
      </c>
      <c r="D4" s="15" t="s">
        <v>5</v>
      </c>
      <c r="E4" s="8" t="s">
        <v>1</v>
      </c>
      <c r="I4" s="18" t="s">
        <v>5</v>
      </c>
      <c r="J4" s="7" t="s">
        <v>3</v>
      </c>
      <c r="M4" s="15" t="s">
        <v>5</v>
      </c>
      <c r="N4" s="8" t="s">
        <v>4</v>
      </c>
      <c r="S4" s="41"/>
      <c r="W4" s="6" t="s">
        <v>16</v>
      </c>
      <c r="X4" s="42">
        <v>252</v>
      </c>
      <c r="Y4" s="30">
        <v>0.49802371541501977</v>
      </c>
    </row>
    <row r="5" spans="1:26" ht="15" thickBot="1" x14ac:dyDescent="0.4">
      <c r="A5" s="64">
        <v>506</v>
      </c>
      <c r="D5" s="16" t="s">
        <v>61</v>
      </c>
      <c r="E5" s="61">
        <v>26</v>
      </c>
      <c r="I5" s="9" t="s">
        <v>61</v>
      </c>
      <c r="J5" s="12">
        <v>34.884615384615387</v>
      </c>
      <c r="M5" s="16" t="s">
        <v>61</v>
      </c>
      <c r="N5" s="12">
        <v>4.8</v>
      </c>
      <c r="S5" s="41"/>
      <c r="W5" s="6" t="s">
        <v>17</v>
      </c>
      <c r="X5" s="43">
        <v>254</v>
      </c>
      <c r="Y5" s="31">
        <v>0.50197628458498023</v>
      </c>
    </row>
    <row r="6" spans="1:26" ht="15" thickBot="1" x14ac:dyDescent="0.4">
      <c r="D6" s="9" t="s">
        <v>62</v>
      </c>
      <c r="E6" s="62">
        <v>17</v>
      </c>
      <c r="I6" s="9" t="s">
        <v>62</v>
      </c>
      <c r="J6" s="13">
        <v>34.941176470588232</v>
      </c>
      <c r="M6" s="9" t="s">
        <v>62</v>
      </c>
      <c r="N6" s="13">
        <v>5.333333333333333</v>
      </c>
      <c r="W6" s="6" t="s">
        <v>6</v>
      </c>
      <c r="X6" s="44">
        <v>506</v>
      </c>
      <c r="Y6" s="32">
        <v>1</v>
      </c>
    </row>
    <row r="7" spans="1:26" ht="15" thickBot="1" x14ac:dyDescent="0.4">
      <c r="D7" s="9" t="s">
        <v>63</v>
      </c>
      <c r="E7" s="62">
        <v>19</v>
      </c>
      <c r="I7" s="9" t="s">
        <v>63</v>
      </c>
      <c r="J7" s="13">
        <v>32.736842105263158</v>
      </c>
      <c r="M7" s="9" t="s">
        <v>63</v>
      </c>
      <c r="N7" s="13">
        <v>6.666666666666667</v>
      </c>
    </row>
    <row r="8" spans="1:26" ht="15" thickBot="1" x14ac:dyDescent="0.4">
      <c r="A8" s="11" t="s">
        <v>7</v>
      </c>
      <c r="D8" s="9" t="s">
        <v>64</v>
      </c>
      <c r="E8" s="62">
        <v>17</v>
      </c>
      <c r="I8" s="9" t="s">
        <v>64</v>
      </c>
      <c r="J8" s="13">
        <v>34.411764705882355</v>
      </c>
      <c r="M8" s="9" t="s">
        <v>64</v>
      </c>
      <c r="N8" s="13">
        <v>4.5555555555555554</v>
      </c>
    </row>
    <row r="9" spans="1:26" ht="15" thickBot="1" x14ac:dyDescent="0.4">
      <c r="A9" s="3" t="s">
        <v>3</v>
      </c>
      <c r="D9" s="9" t="s">
        <v>65</v>
      </c>
      <c r="E9" s="62">
        <v>18</v>
      </c>
      <c r="I9" s="9" t="s">
        <v>65</v>
      </c>
      <c r="J9" s="13">
        <v>34.388888888888886</v>
      </c>
      <c r="M9" s="9" t="s">
        <v>65</v>
      </c>
      <c r="N9" s="13">
        <v>4.333333333333333</v>
      </c>
    </row>
    <row r="10" spans="1:26" ht="15" thickBot="1" x14ac:dyDescent="0.4">
      <c r="A10" s="2">
        <v>35.581027667984188</v>
      </c>
      <c r="D10" s="9" t="s">
        <v>66</v>
      </c>
      <c r="E10" s="62">
        <v>17</v>
      </c>
      <c r="I10" s="9" t="s">
        <v>66</v>
      </c>
      <c r="J10" s="13">
        <v>33.294117647058826</v>
      </c>
      <c r="M10" s="9" t="s">
        <v>66</v>
      </c>
      <c r="N10" s="13">
        <v>7.333333333333333</v>
      </c>
      <c r="Y10" s="50"/>
    </row>
    <row r="11" spans="1:26" x14ac:dyDescent="0.35">
      <c r="D11" s="9" t="s">
        <v>67</v>
      </c>
      <c r="E11" s="62">
        <v>17</v>
      </c>
      <c r="I11" s="9" t="s">
        <v>67</v>
      </c>
      <c r="J11" s="13">
        <v>35</v>
      </c>
      <c r="M11" s="9" t="s">
        <v>67</v>
      </c>
      <c r="N11" s="13">
        <v>5.25</v>
      </c>
      <c r="W11" s="45" t="s">
        <v>19</v>
      </c>
      <c r="X11" s="46" t="s">
        <v>20</v>
      </c>
      <c r="Y11" s="46" t="s">
        <v>48</v>
      </c>
      <c r="Z11" s="33" t="s">
        <v>49</v>
      </c>
    </row>
    <row r="12" spans="1:26" ht="15" thickBot="1" x14ac:dyDescent="0.4">
      <c r="D12" s="9" t="s">
        <v>68</v>
      </c>
      <c r="E12" s="62">
        <v>19</v>
      </c>
      <c r="I12" s="9" t="s">
        <v>68</v>
      </c>
      <c r="J12" s="13">
        <v>36.736842105263158</v>
      </c>
      <c r="M12" s="9" t="s">
        <v>68</v>
      </c>
      <c r="N12" s="13">
        <v>6.333333333333333</v>
      </c>
      <c r="W12" s="47" t="str">
        <f>W5</f>
        <v>Not Admitted</v>
      </c>
      <c r="X12" s="48">
        <f t="shared" ref="X12:Y12" si="0">X5</f>
        <v>254</v>
      </c>
      <c r="Y12" s="49">
        <f t="shared" si="0"/>
        <v>0.50197628458498023</v>
      </c>
    </row>
    <row r="13" spans="1:26" ht="15" thickBot="1" x14ac:dyDescent="0.4">
      <c r="A13" s="11" t="s">
        <v>8</v>
      </c>
      <c r="D13" s="9" t="s">
        <v>69</v>
      </c>
      <c r="E13" s="62">
        <v>19</v>
      </c>
      <c r="I13" s="9" t="s">
        <v>69</v>
      </c>
      <c r="J13" s="13">
        <v>37.368421052631582</v>
      </c>
      <c r="M13" s="9" t="s">
        <v>69</v>
      </c>
      <c r="N13" s="13">
        <v>5.7142857142857144</v>
      </c>
      <c r="W13" s="47" t="str">
        <f>W4</f>
        <v>Admitted</v>
      </c>
      <c r="X13" s="48">
        <f t="shared" ref="X13:Y13" si="1">X4</f>
        <v>252</v>
      </c>
      <c r="Y13" s="49">
        <f t="shared" si="1"/>
        <v>0.49802371541501977</v>
      </c>
    </row>
    <row r="14" spans="1:26" ht="15" thickBot="1" x14ac:dyDescent="0.4">
      <c r="A14" s="3" t="s">
        <v>4</v>
      </c>
      <c r="D14" s="9" t="s">
        <v>70</v>
      </c>
      <c r="E14" s="62">
        <v>14</v>
      </c>
      <c r="I14" s="9" t="s">
        <v>70</v>
      </c>
      <c r="J14" s="13">
        <v>31.428571428571427</v>
      </c>
      <c r="M14" s="9" t="s">
        <v>70</v>
      </c>
      <c r="N14" s="13">
        <v>5</v>
      </c>
    </row>
    <row r="15" spans="1:26" ht="15" thickBot="1" x14ac:dyDescent="0.4">
      <c r="A15" s="2">
        <v>5.1818181818181817</v>
      </c>
      <c r="D15" s="9" t="s">
        <v>71</v>
      </c>
      <c r="E15" s="62">
        <v>17</v>
      </c>
      <c r="I15" s="9" t="s">
        <v>71</v>
      </c>
      <c r="J15" s="13">
        <v>45.470588235294116</v>
      </c>
      <c r="M15" s="9" t="s">
        <v>71</v>
      </c>
      <c r="N15" s="13">
        <v>6.166666666666667</v>
      </c>
    </row>
    <row r="16" spans="1:26" x14ac:dyDescent="0.35">
      <c r="D16" s="9" t="s">
        <v>72</v>
      </c>
      <c r="E16" s="62">
        <v>20</v>
      </c>
      <c r="I16" s="9" t="s">
        <v>72</v>
      </c>
      <c r="J16" s="13">
        <v>32.549999999999997</v>
      </c>
      <c r="M16" s="9" t="s">
        <v>72</v>
      </c>
      <c r="N16" s="13">
        <v>3</v>
      </c>
    </row>
    <row r="17" spans="4:29" x14ac:dyDescent="0.35">
      <c r="D17" s="9" t="s">
        <v>73</v>
      </c>
      <c r="E17" s="62">
        <v>13</v>
      </c>
      <c r="I17" s="9" t="s">
        <v>73</v>
      </c>
      <c r="J17" s="13">
        <v>39.615384615384613</v>
      </c>
      <c r="M17" s="9" t="s">
        <v>73</v>
      </c>
      <c r="N17" s="13">
        <v>4.5</v>
      </c>
      <c r="AC17" t="s">
        <v>50</v>
      </c>
    </row>
    <row r="18" spans="4:29" x14ac:dyDescent="0.35">
      <c r="D18" s="9" t="s">
        <v>74</v>
      </c>
      <c r="E18" s="62">
        <v>14</v>
      </c>
      <c r="I18" s="9" t="s">
        <v>74</v>
      </c>
      <c r="J18" s="13">
        <v>36</v>
      </c>
      <c r="M18" s="9" t="s">
        <v>74</v>
      </c>
      <c r="N18" s="13">
        <v>4.666666666666667</v>
      </c>
    </row>
    <row r="19" spans="4:29" x14ac:dyDescent="0.35">
      <c r="D19" s="9" t="s">
        <v>75</v>
      </c>
      <c r="E19" s="62">
        <v>15</v>
      </c>
      <c r="I19" s="9" t="s">
        <v>75</v>
      </c>
      <c r="J19" s="13">
        <v>31.6</v>
      </c>
      <c r="M19" s="9" t="s">
        <v>75</v>
      </c>
      <c r="N19" s="13">
        <v>9</v>
      </c>
    </row>
    <row r="20" spans="4:29" x14ac:dyDescent="0.35">
      <c r="D20" s="9" t="s">
        <v>76</v>
      </c>
      <c r="E20" s="62">
        <v>13</v>
      </c>
      <c r="I20" s="9" t="s">
        <v>76</v>
      </c>
      <c r="J20" s="13">
        <v>33.846153846153847</v>
      </c>
      <c r="M20" s="9" t="s">
        <v>76</v>
      </c>
      <c r="N20" s="13">
        <v>1.5</v>
      </c>
    </row>
    <row r="21" spans="4:29" x14ac:dyDescent="0.35">
      <c r="D21" s="9" t="s">
        <v>77</v>
      </c>
      <c r="E21" s="62">
        <v>15</v>
      </c>
      <c r="I21" s="9" t="s">
        <v>77</v>
      </c>
      <c r="J21" s="13">
        <v>31.8</v>
      </c>
      <c r="M21" s="9" t="s">
        <v>77</v>
      </c>
      <c r="N21" s="13">
        <v>6.8</v>
      </c>
    </row>
    <row r="22" spans="4:29" x14ac:dyDescent="0.35">
      <c r="D22" s="9" t="s">
        <v>78</v>
      </c>
      <c r="E22" s="62">
        <v>17</v>
      </c>
      <c r="I22" s="9" t="s">
        <v>78</v>
      </c>
      <c r="J22" s="13">
        <v>36</v>
      </c>
      <c r="M22" s="9" t="s">
        <v>78</v>
      </c>
      <c r="N22" s="13">
        <v>4.625</v>
      </c>
    </row>
    <row r="23" spans="4:29" ht="15" thickBot="1" x14ac:dyDescent="0.4">
      <c r="D23" s="9" t="s">
        <v>79</v>
      </c>
      <c r="E23" s="62">
        <v>10</v>
      </c>
      <c r="I23" s="9" t="s">
        <v>79</v>
      </c>
      <c r="J23" s="13">
        <v>29.8</v>
      </c>
      <c r="M23" s="9" t="s">
        <v>79</v>
      </c>
      <c r="N23" s="13">
        <v>4.333333333333333</v>
      </c>
    </row>
    <row r="24" spans="4:29" ht="15" thickBot="1" x14ac:dyDescent="0.4">
      <c r="D24" s="9" t="s">
        <v>80</v>
      </c>
      <c r="E24" s="62">
        <v>13</v>
      </c>
      <c r="I24" s="9" t="s">
        <v>80</v>
      </c>
      <c r="J24" s="13">
        <v>41.307692307692307</v>
      </c>
      <c r="M24" s="9" t="s">
        <v>80</v>
      </c>
      <c r="N24" s="13">
        <v>1.3333333333333333</v>
      </c>
      <c r="S24" s="5" t="s">
        <v>5</v>
      </c>
      <c r="T24" s="3" t="s">
        <v>58</v>
      </c>
      <c r="W24" s="5" t="s">
        <v>5</v>
      </c>
      <c r="X24" s="3" t="s">
        <v>59</v>
      </c>
    </row>
    <row r="25" spans="4:29" x14ac:dyDescent="0.35">
      <c r="D25" s="9" t="s">
        <v>81</v>
      </c>
      <c r="E25" s="62">
        <v>17</v>
      </c>
      <c r="I25" s="9" t="s">
        <v>81</v>
      </c>
      <c r="J25" s="13">
        <v>29.764705882352942</v>
      </c>
      <c r="M25" s="9" t="s">
        <v>81</v>
      </c>
      <c r="N25" s="13">
        <v>5</v>
      </c>
      <c r="S25" s="6" t="s">
        <v>51</v>
      </c>
      <c r="T25" s="37">
        <v>106</v>
      </c>
      <c r="W25" s="6">
        <v>0</v>
      </c>
      <c r="X25" s="37">
        <v>0</v>
      </c>
    </row>
    <row r="26" spans="4:29" x14ac:dyDescent="0.35">
      <c r="D26" s="9" t="s">
        <v>82</v>
      </c>
      <c r="E26" s="62">
        <v>26</v>
      </c>
      <c r="I26" s="9" t="s">
        <v>82</v>
      </c>
      <c r="J26" s="13">
        <v>37.92307692307692</v>
      </c>
      <c r="M26" s="9" t="s">
        <v>82</v>
      </c>
      <c r="N26" s="13">
        <v>3.1666666666666665</v>
      </c>
      <c r="S26" s="6" t="s">
        <v>52</v>
      </c>
      <c r="T26" s="38">
        <v>55</v>
      </c>
      <c r="W26" s="6">
        <v>1</v>
      </c>
      <c r="X26" s="38">
        <v>13</v>
      </c>
    </row>
    <row r="27" spans="4:29" x14ac:dyDescent="0.35">
      <c r="D27" s="9" t="s">
        <v>83</v>
      </c>
      <c r="E27" s="62">
        <v>8</v>
      </c>
      <c r="I27" s="9" t="s">
        <v>83</v>
      </c>
      <c r="J27" s="13">
        <v>38.625</v>
      </c>
      <c r="M27" s="9" t="s">
        <v>83</v>
      </c>
      <c r="N27" s="13">
        <v>7.5</v>
      </c>
      <c r="S27" s="6" t="s">
        <v>53</v>
      </c>
      <c r="T27" s="38">
        <v>57</v>
      </c>
      <c r="W27" s="6">
        <v>2</v>
      </c>
      <c r="X27" s="38">
        <v>26</v>
      </c>
    </row>
    <row r="28" spans="4:29" x14ac:dyDescent="0.35">
      <c r="D28" s="9" t="s">
        <v>84</v>
      </c>
      <c r="E28" s="62">
        <v>17</v>
      </c>
      <c r="I28" s="9" t="s">
        <v>84</v>
      </c>
      <c r="J28" s="13">
        <v>41.470588235294116</v>
      </c>
      <c r="M28" s="9" t="s">
        <v>84</v>
      </c>
      <c r="N28" s="13">
        <v>4.2</v>
      </c>
      <c r="S28" s="6" t="s">
        <v>54</v>
      </c>
      <c r="T28" s="38">
        <v>24</v>
      </c>
      <c r="W28" s="6">
        <v>3</v>
      </c>
      <c r="X28" s="38">
        <v>30</v>
      </c>
    </row>
    <row r="29" spans="4:29" x14ac:dyDescent="0.35">
      <c r="D29" s="9" t="s">
        <v>85</v>
      </c>
      <c r="E29" s="62">
        <v>18</v>
      </c>
      <c r="I29" s="9" t="s">
        <v>85</v>
      </c>
      <c r="J29" s="13">
        <v>39.5</v>
      </c>
      <c r="M29" s="9" t="s">
        <v>85</v>
      </c>
      <c r="N29" s="13">
        <v>4.625</v>
      </c>
      <c r="S29" s="6" t="s">
        <v>55</v>
      </c>
      <c r="T29" s="38">
        <v>35</v>
      </c>
      <c r="W29" s="6">
        <v>4</v>
      </c>
      <c r="X29" s="38">
        <v>72</v>
      </c>
    </row>
    <row r="30" spans="4:29" x14ac:dyDescent="0.35">
      <c r="D30" s="9" t="s">
        <v>86</v>
      </c>
      <c r="E30" s="62">
        <v>19</v>
      </c>
      <c r="I30" s="9" t="s">
        <v>86</v>
      </c>
      <c r="J30" s="13">
        <v>29.736842105263158</v>
      </c>
      <c r="M30" s="9" t="s">
        <v>86</v>
      </c>
      <c r="N30" s="13">
        <v>9.6666666666666661</v>
      </c>
      <c r="S30" s="6" t="s">
        <v>56</v>
      </c>
      <c r="T30" s="38">
        <v>81</v>
      </c>
      <c r="W30" s="6">
        <v>5</v>
      </c>
      <c r="X30" s="38">
        <v>75</v>
      </c>
    </row>
    <row r="31" spans="4:29" x14ac:dyDescent="0.35">
      <c r="D31" s="9" t="s">
        <v>87</v>
      </c>
      <c r="E31" s="62">
        <v>20</v>
      </c>
      <c r="I31" s="9" t="s">
        <v>87</v>
      </c>
      <c r="J31" s="13">
        <v>37.75</v>
      </c>
      <c r="M31" s="9" t="s">
        <v>87</v>
      </c>
      <c r="N31" s="13">
        <v>6.125</v>
      </c>
      <c r="S31" s="6" t="s">
        <v>57</v>
      </c>
      <c r="T31" s="38">
        <v>148</v>
      </c>
      <c r="W31" s="6">
        <v>6</v>
      </c>
      <c r="X31" s="38">
        <v>84</v>
      </c>
    </row>
    <row r="32" spans="4:29" ht="15" thickBot="1" x14ac:dyDescent="0.4">
      <c r="D32" s="9" t="s">
        <v>88</v>
      </c>
      <c r="E32" s="62">
        <v>23</v>
      </c>
      <c r="I32" s="9" t="s">
        <v>88</v>
      </c>
      <c r="J32" s="13">
        <v>37.782608695652172</v>
      </c>
      <c r="M32" s="9" t="s">
        <v>88</v>
      </c>
      <c r="N32" s="13">
        <v>5.5555555555555554</v>
      </c>
      <c r="S32" s="6" t="s">
        <v>6</v>
      </c>
      <c r="T32" s="39">
        <v>506</v>
      </c>
      <c r="W32" s="6">
        <v>7</v>
      </c>
      <c r="X32" s="38">
        <v>84</v>
      </c>
    </row>
    <row r="33" spans="2:24" x14ac:dyDescent="0.35">
      <c r="D33" s="9" t="s">
        <v>89</v>
      </c>
      <c r="E33" s="62">
        <v>16</v>
      </c>
      <c r="I33" s="9" t="s">
        <v>89</v>
      </c>
      <c r="J33" s="13">
        <v>34.1875</v>
      </c>
      <c r="M33" s="9" t="s">
        <v>89</v>
      </c>
      <c r="N33" s="13">
        <v>6.333333333333333</v>
      </c>
      <c r="W33" s="6">
        <v>8</v>
      </c>
      <c r="X33" s="38">
        <v>80</v>
      </c>
    </row>
    <row r="34" spans="2:24" ht="15" thickBot="1" x14ac:dyDescent="0.4">
      <c r="D34" s="10" t="s">
        <v>90</v>
      </c>
      <c r="E34" s="62">
        <v>12</v>
      </c>
      <c r="I34" s="10" t="s">
        <v>90</v>
      </c>
      <c r="J34" s="13">
        <v>36.166666666666664</v>
      </c>
      <c r="M34" s="10" t="s">
        <v>90</v>
      </c>
      <c r="N34" s="13">
        <v>5.333333333333333</v>
      </c>
      <c r="W34" s="6">
        <v>9</v>
      </c>
      <c r="X34" s="38">
        <v>117</v>
      </c>
    </row>
    <row r="35" spans="2:24" ht="15" thickBot="1" x14ac:dyDescent="0.4">
      <c r="D35" s="17" t="s">
        <v>6</v>
      </c>
      <c r="E35" s="63">
        <v>506</v>
      </c>
      <c r="I35" s="10" t="s">
        <v>6</v>
      </c>
      <c r="J35" s="14">
        <v>35.581027667984188</v>
      </c>
      <c r="M35" s="17" t="s">
        <v>6</v>
      </c>
      <c r="N35" s="14">
        <v>5.1818181818181817</v>
      </c>
      <c r="W35" s="6">
        <v>10</v>
      </c>
      <c r="X35" s="38">
        <v>160</v>
      </c>
    </row>
    <row r="36" spans="2:24" ht="15" thickBot="1" x14ac:dyDescent="0.4">
      <c r="W36" s="6" t="s">
        <v>6</v>
      </c>
      <c r="X36" s="39">
        <v>741</v>
      </c>
    </row>
    <row r="48" spans="2:24" ht="13" customHeight="1" x14ac:dyDescent="0.35">
      <c r="B48" s="33"/>
      <c r="C48" s="33"/>
    </row>
    <row r="49" spans="1:3" ht="12.5" customHeight="1" x14ac:dyDescent="0.35">
      <c r="A49" s="34"/>
      <c r="B49" s="35"/>
      <c r="C49" s="36"/>
    </row>
    <row r="50" spans="1:3" x14ac:dyDescent="0.35">
      <c r="A50" s="34"/>
      <c r="B50" s="35"/>
      <c r="C50" s="36"/>
    </row>
    <row r="52" spans="1:3" ht="15" thickBot="1" x14ac:dyDescent="0.4"/>
    <row r="53" spans="1:3" ht="15" thickBot="1" x14ac:dyDescent="0.4">
      <c r="A53" s="55" t="s">
        <v>30</v>
      </c>
      <c r="B53" s="56"/>
    </row>
    <row r="54" spans="1:3" ht="15" thickBot="1" x14ac:dyDescent="0.4">
      <c r="A54" s="5" t="s">
        <v>5</v>
      </c>
      <c r="B54" s="3" t="s">
        <v>29</v>
      </c>
    </row>
    <row r="55" spans="1:3" x14ac:dyDescent="0.35">
      <c r="A55" s="6" t="s">
        <v>21</v>
      </c>
      <c r="B55" s="37">
        <v>54</v>
      </c>
    </row>
    <row r="56" spans="1:3" x14ac:dyDescent="0.35">
      <c r="A56" s="6" t="s">
        <v>22</v>
      </c>
      <c r="B56" s="38">
        <v>72</v>
      </c>
    </row>
    <row r="57" spans="1:3" x14ac:dyDescent="0.35">
      <c r="A57" s="6" t="s">
        <v>23</v>
      </c>
      <c r="B57" s="38">
        <v>75</v>
      </c>
    </row>
    <row r="58" spans="1:3" x14ac:dyDescent="0.35">
      <c r="A58" s="6" t="s">
        <v>24</v>
      </c>
      <c r="B58" s="38">
        <v>62</v>
      </c>
    </row>
    <row r="59" spans="1:3" x14ac:dyDescent="0.35">
      <c r="A59" s="6" t="s">
        <v>25</v>
      </c>
      <c r="B59" s="38">
        <v>63</v>
      </c>
    </row>
    <row r="60" spans="1:3" x14ac:dyDescent="0.35">
      <c r="A60" s="6" t="s">
        <v>26</v>
      </c>
      <c r="B60" s="38">
        <v>49</v>
      </c>
    </row>
    <row r="61" spans="1:3" x14ac:dyDescent="0.35">
      <c r="A61" s="6" t="s">
        <v>27</v>
      </c>
      <c r="B61" s="38">
        <v>74</v>
      </c>
    </row>
    <row r="62" spans="1:3" x14ac:dyDescent="0.35">
      <c r="A62" s="6" t="s">
        <v>28</v>
      </c>
      <c r="B62" s="38">
        <v>57</v>
      </c>
    </row>
    <row r="63" spans="1:3" ht="15" thickBot="1" x14ac:dyDescent="0.4">
      <c r="A63" s="6" t="s">
        <v>6</v>
      </c>
      <c r="B63" s="39">
        <v>506</v>
      </c>
    </row>
    <row r="64" spans="1:3" ht="15" thickBot="1" x14ac:dyDescent="0.4"/>
    <row r="65" spans="1:2" ht="15" thickBot="1" x14ac:dyDescent="0.4">
      <c r="A65" s="51" t="s">
        <v>34</v>
      </c>
      <c r="B65" s="52"/>
    </row>
    <row r="66" spans="1:2" ht="15" thickBot="1" x14ac:dyDescent="0.4">
      <c r="A66" s="5" t="s">
        <v>5</v>
      </c>
      <c r="B66" s="3" t="s">
        <v>33</v>
      </c>
    </row>
    <row r="67" spans="1:2" x14ac:dyDescent="0.35">
      <c r="A67" s="6" t="s">
        <v>31</v>
      </c>
      <c r="B67" s="37">
        <v>311</v>
      </c>
    </row>
    <row r="68" spans="1:2" x14ac:dyDescent="0.35">
      <c r="A68" s="6" t="s">
        <v>32</v>
      </c>
      <c r="B68" s="38">
        <v>195</v>
      </c>
    </row>
    <row r="69" spans="1:2" ht="15" thickBot="1" x14ac:dyDescent="0.4">
      <c r="A69" s="6" t="s">
        <v>6</v>
      </c>
      <c r="B69" s="39">
        <v>506</v>
      </c>
    </row>
    <row r="71" spans="1:2" ht="15" thickBot="1" x14ac:dyDescent="0.4"/>
    <row r="72" spans="1:2" ht="15" thickBot="1" x14ac:dyDescent="0.4">
      <c r="A72" s="51" t="s">
        <v>38</v>
      </c>
      <c r="B72" s="52"/>
    </row>
    <row r="73" spans="1:2" ht="15" thickBot="1" x14ac:dyDescent="0.4">
      <c r="A73" s="5" t="s">
        <v>5</v>
      </c>
      <c r="B73" s="3" t="s">
        <v>37</v>
      </c>
    </row>
    <row r="74" spans="1:2" x14ac:dyDescent="0.35">
      <c r="A74" s="6" t="s">
        <v>35</v>
      </c>
      <c r="B74" s="37">
        <v>233</v>
      </c>
    </row>
    <row r="75" spans="1:2" x14ac:dyDescent="0.35">
      <c r="A75" s="6" t="s">
        <v>36</v>
      </c>
      <c r="B75" s="38">
        <v>273</v>
      </c>
    </row>
    <row r="76" spans="1:2" ht="15" thickBot="1" x14ac:dyDescent="0.4">
      <c r="A76" s="6" t="s">
        <v>6</v>
      </c>
      <c r="B76" s="39">
        <v>506</v>
      </c>
    </row>
    <row r="80" spans="1:2" ht="15" thickBot="1" x14ac:dyDescent="0.4"/>
    <row r="81" spans="1:2" ht="15" thickBot="1" x14ac:dyDescent="0.4">
      <c r="A81" s="5" t="s">
        <v>5</v>
      </c>
      <c r="B81" s="3" t="s">
        <v>47</v>
      </c>
    </row>
    <row r="82" spans="1:2" x14ac:dyDescent="0.35">
      <c r="A82" s="6" t="s">
        <v>46</v>
      </c>
      <c r="B82" s="37">
        <v>2</v>
      </c>
    </row>
    <row r="83" spans="1:2" x14ac:dyDescent="0.35">
      <c r="A83" s="6" t="s">
        <v>40</v>
      </c>
      <c r="B83" s="38">
        <v>11</v>
      </c>
    </row>
    <row r="84" spans="1:2" x14ac:dyDescent="0.35">
      <c r="A84" s="6" t="s">
        <v>39</v>
      </c>
      <c r="B84" s="38">
        <v>12</v>
      </c>
    </row>
    <row r="85" spans="1:2" x14ac:dyDescent="0.35">
      <c r="A85" s="6" t="s">
        <v>42</v>
      </c>
      <c r="B85" s="38">
        <v>15</v>
      </c>
    </row>
    <row r="86" spans="1:2" x14ac:dyDescent="0.35">
      <c r="A86" s="6" t="s">
        <v>45</v>
      </c>
      <c r="B86" s="38">
        <v>18</v>
      </c>
    </row>
    <row r="87" spans="1:2" x14ac:dyDescent="0.35">
      <c r="A87" s="6" t="s">
        <v>44</v>
      </c>
      <c r="B87" s="38">
        <v>60</v>
      </c>
    </row>
    <row r="88" spans="1:2" x14ac:dyDescent="0.35">
      <c r="A88" s="6" t="s">
        <v>41</v>
      </c>
      <c r="B88" s="38">
        <v>83</v>
      </c>
    </row>
    <row r="89" spans="1:2" x14ac:dyDescent="0.35">
      <c r="A89" s="6" t="s">
        <v>43</v>
      </c>
      <c r="B89" s="38">
        <v>305</v>
      </c>
    </row>
    <row r="90" spans="1:2" ht="15" thickBot="1" x14ac:dyDescent="0.4">
      <c r="A90" s="6" t="s">
        <v>6</v>
      </c>
      <c r="B90" s="39">
        <v>506</v>
      </c>
    </row>
    <row r="94" spans="1:2" x14ac:dyDescent="0.35">
      <c r="A94" s="5" t="s">
        <v>5</v>
      </c>
    </row>
    <row r="95" spans="1:2" x14ac:dyDescent="0.35">
      <c r="A95" s="6" t="s">
        <v>60</v>
      </c>
    </row>
    <row r="96" spans="1:2" x14ac:dyDescent="0.35">
      <c r="A96" s="6" t="s">
        <v>6</v>
      </c>
    </row>
    <row r="217" ht="15" thickBot="1" x14ac:dyDescent="0.4"/>
    <row r="218" ht="15" thickBot="1" x14ac:dyDescent="0.4"/>
    <row r="219" ht="15" thickBot="1" x14ac:dyDescent="0.4"/>
    <row r="276" ht="15" thickBot="1" x14ac:dyDescent="0.4"/>
    <row r="277" ht="15" thickBot="1" x14ac:dyDescent="0.4"/>
    <row r="279" ht="15" thickBot="1" x14ac:dyDescent="0.4"/>
    <row r="280" ht="15" thickBot="1" x14ac:dyDescent="0.4"/>
    <row r="302" ht="15" thickBot="1" x14ac:dyDescent="0.4"/>
    <row r="303" ht="15" thickBot="1" x14ac:dyDescent="0.4"/>
    <row r="308" ht="15" thickBot="1" x14ac:dyDescent="0.4"/>
    <row r="309" ht="15" thickBot="1" x14ac:dyDescent="0.4"/>
    <row r="367" ht="15" thickBot="1" x14ac:dyDescent="0.4"/>
    <row r="368" ht="15" thickBot="1" x14ac:dyDescent="0.4"/>
    <row r="370" ht="15" thickBot="1" x14ac:dyDescent="0.4"/>
    <row r="371" ht="15" thickBot="1" x14ac:dyDescent="0.4"/>
    <row r="373" ht="15" thickBot="1" x14ac:dyDescent="0.4"/>
    <row r="385" ht="15" thickBot="1" x14ac:dyDescent="0.4"/>
    <row r="964" ht="15" thickBot="1" x14ac:dyDescent="0.4"/>
  </sheetData>
  <mergeCells count="6">
    <mergeCell ref="A72:B72"/>
    <mergeCell ref="D3:E3"/>
    <mergeCell ref="I3:J3"/>
    <mergeCell ref="M3:N3"/>
    <mergeCell ref="A53:B53"/>
    <mergeCell ref="A65:B65"/>
  </mergeCells>
  <pageMargins left="0.7" right="0.7" top="0.75" bottom="0.75" header="0.3" footer="0.3"/>
  <drawing r:id="rId1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B52D3-F61D-42AC-9E7A-27D3B958C9BE}">
  <sheetPr>
    <tabColor theme="5" tint="-0.499984740745262"/>
  </sheetPr>
  <dimension ref="A1"/>
  <sheetViews>
    <sheetView showGridLines="0" tabSelected="1" zoomScaleNormal="100" zoomScaleSheetLayoutView="40" workbookViewId="0">
      <selection activeCell="Q24" sqref="Q24"/>
    </sheetView>
  </sheetViews>
  <sheetFormatPr defaultRowHeight="14.5" x14ac:dyDescent="0.35"/>
  <cols>
    <col min="1" max="13" width="8.7265625" style="4"/>
    <col min="14" max="14" width="9.6328125" style="4" customWidth="1"/>
    <col min="15" max="16384" width="8.7265625" style="4"/>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9D688-E860-4713-98C5-39C07347227F}">
  <dimension ref="A1:O23"/>
  <sheetViews>
    <sheetView zoomScaleNormal="100" workbookViewId="0"/>
  </sheetViews>
  <sheetFormatPr defaultRowHeight="14.5" x14ac:dyDescent="0.35"/>
  <sheetData>
    <row r="1" spans="1:15" x14ac:dyDescent="0.35">
      <c r="A1" s="19"/>
      <c r="B1" s="20"/>
      <c r="C1" s="20"/>
      <c r="D1" s="20"/>
      <c r="E1" s="20"/>
      <c r="F1" s="20"/>
      <c r="G1" s="20"/>
      <c r="H1" s="20"/>
      <c r="I1" s="20"/>
      <c r="J1" s="20"/>
      <c r="K1" s="20"/>
      <c r="L1" s="20"/>
      <c r="M1" s="20"/>
      <c r="N1" s="20"/>
      <c r="O1" s="21"/>
    </row>
    <row r="2" spans="1:15" x14ac:dyDescent="0.35">
      <c r="A2" s="22"/>
      <c r="B2" s="23"/>
      <c r="C2" s="23"/>
      <c r="D2" s="23"/>
      <c r="E2" s="23"/>
      <c r="F2" s="23"/>
      <c r="G2" s="23"/>
      <c r="H2" s="23"/>
      <c r="I2" s="23"/>
      <c r="J2" s="23"/>
      <c r="K2" s="23"/>
      <c r="L2" s="23"/>
      <c r="M2" s="23"/>
      <c r="N2" s="23"/>
      <c r="O2" s="24"/>
    </row>
    <row r="3" spans="1:15" x14ac:dyDescent="0.35">
      <c r="A3" s="22"/>
      <c r="B3" s="23"/>
      <c r="C3" s="23"/>
      <c r="D3" s="23"/>
      <c r="E3" s="23"/>
      <c r="F3" s="23"/>
      <c r="G3" s="23"/>
      <c r="H3" s="23"/>
      <c r="I3" s="23"/>
      <c r="J3" s="23"/>
      <c r="K3" s="23"/>
      <c r="L3" s="23"/>
      <c r="M3" s="23"/>
      <c r="N3" s="23"/>
      <c r="O3" s="24"/>
    </row>
    <row r="4" spans="1:15" x14ac:dyDescent="0.35">
      <c r="A4" s="22"/>
      <c r="B4" s="23"/>
      <c r="C4" s="23"/>
      <c r="D4" s="23"/>
      <c r="E4" s="23"/>
      <c r="F4" s="23"/>
      <c r="G4" s="23"/>
      <c r="H4" s="23"/>
      <c r="I4" s="23"/>
      <c r="J4" s="23"/>
      <c r="K4" s="23"/>
      <c r="L4" s="23"/>
      <c r="M4" s="23"/>
      <c r="N4" s="23"/>
      <c r="O4" s="24"/>
    </row>
    <row r="5" spans="1:15" x14ac:dyDescent="0.35">
      <c r="A5" s="22"/>
      <c r="B5" s="23"/>
      <c r="C5" s="23"/>
      <c r="D5" s="23"/>
      <c r="E5" s="23"/>
      <c r="F5" s="23"/>
      <c r="G5" s="23"/>
      <c r="H5" s="23"/>
      <c r="I5" s="23"/>
      <c r="J5" s="23"/>
      <c r="K5" s="23"/>
      <c r="L5" s="23"/>
      <c r="M5" s="23"/>
      <c r="N5" s="23"/>
      <c r="O5" s="24"/>
    </row>
    <row r="6" spans="1:15" x14ac:dyDescent="0.35">
      <c r="A6" s="22"/>
      <c r="B6" s="23"/>
      <c r="C6" s="23"/>
      <c r="D6" s="23"/>
      <c r="E6" s="23"/>
      <c r="F6" s="23"/>
      <c r="G6" s="23"/>
      <c r="H6" s="23"/>
      <c r="I6" s="23"/>
      <c r="J6" s="23"/>
      <c r="K6" s="23"/>
      <c r="L6" s="23"/>
      <c r="M6" s="23"/>
      <c r="N6" s="23"/>
      <c r="O6" s="24"/>
    </row>
    <row r="7" spans="1:15" x14ac:dyDescent="0.35">
      <c r="A7" s="22"/>
      <c r="B7" s="23"/>
      <c r="C7" s="23"/>
      <c r="D7" s="23"/>
      <c r="E7" s="23"/>
      <c r="F7" s="23"/>
      <c r="G7" s="23"/>
      <c r="H7" s="23"/>
      <c r="I7" s="23"/>
      <c r="J7" s="23"/>
      <c r="K7" s="23"/>
      <c r="L7" s="23"/>
      <c r="M7" s="23"/>
      <c r="N7" s="23"/>
      <c r="O7" s="24"/>
    </row>
    <row r="8" spans="1:15" x14ac:dyDescent="0.35">
      <c r="A8" s="22"/>
      <c r="B8" s="23"/>
      <c r="C8" s="23"/>
      <c r="D8" s="23"/>
      <c r="E8" s="23"/>
      <c r="F8" s="23"/>
      <c r="G8" s="23"/>
      <c r="H8" s="23"/>
      <c r="I8" s="23"/>
      <c r="J8" s="23"/>
      <c r="K8" s="23"/>
      <c r="L8" s="23"/>
      <c r="M8" s="23"/>
      <c r="N8" s="23"/>
      <c r="O8" s="24"/>
    </row>
    <row r="9" spans="1:15" x14ac:dyDescent="0.35">
      <c r="A9" s="22"/>
      <c r="B9" s="23"/>
      <c r="C9" s="23"/>
      <c r="D9" s="23"/>
      <c r="E9" s="23"/>
      <c r="F9" s="23"/>
      <c r="G9" s="23"/>
      <c r="H9" s="23"/>
      <c r="I9" s="23"/>
      <c r="J9" s="23"/>
      <c r="K9" s="23"/>
      <c r="L9" s="23"/>
      <c r="M9" s="23"/>
      <c r="N9" s="23"/>
      <c r="O9" s="24"/>
    </row>
    <row r="10" spans="1:15" x14ac:dyDescent="0.35">
      <c r="A10" s="22"/>
      <c r="B10" s="23"/>
      <c r="C10" s="23"/>
      <c r="D10" s="23"/>
      <c r="E10" s="23"/>
      <c r="F10" s="23"/>
      <c r="G10" s="23"/>
      <c r="H10" s="23"/>
      <c r="I10" s="23"/>
      <c r="J10" s="23"/>
      <c r="K10" s="23"/>
      <c r="L10" s="23"/>
      <c r="M10" s="23"/>
      <c r="N10" s="23"/>
      <c r="O10" s="24"/>
    </row>
    <row r="11" spans="1:15" x14ac:dyDescent="0.35">
      <c r="A11" s="22"/>
      <c r="B11" s="23"/>
      <c r="C11" s="23"/>
      <c r="D11" s="23"/>
      <c r="E11" s="23"/>
      <c r="F11" s="23"/>
      <c r="G11" s="23"/>
      <c r="H11" s="23"/>
      <c r="I11" s="23"/>
      <c r="J11" s="23"/>
      <c r="K11" s="23"/>
      <c r="L11" s="23"/>
      <c r="M11" s="23"/>
      <c r="N11" s="23"/>
      <c r="O11" s="24"/>
    </row>
    <row r="12" spans="1:15" x14ac:dyDescent="0.35">
      <c r="A12" s="22"/>
      <c r="B12" s="23"/>
      <c r="C12" s="23"/>
      <c r="D12" s="23"/>
      <c r="E12" s="23"/>
      <c r="F12" s="23"/>
      <c r="G12" s="23"/>
      <c r="H12" s="23"/>
      <c r="I12" s="23"/>
      <c r="J12" s="23"/>
      <c r="K12" s="23"/>
      <c r="L12" s="23"/>
      <c r="M12" s="23"/>
      <c r="N12" s="23"/>
      <c r="O12" s="24"/>
    </row>
    <row r="13" spans="1:15" x14ac:dyDescent="0.35">
      <c r="A13" s="22"/>
      <c r="B13" s="23"/>
      <c r="C13" s="23"/>
      <c r="D13" s="23"/>
      <c r="E13" s="23"/>
      <c r="F13" s="23"/>
      <c r="G13" s="23"/>
      <c r="H13" s="23"/>
      <c r="I13" s="23"/>
      <c r="J13" s="23"/>
      <c r="K13" s="23"/>
      <c r="L13" s="23"/>
      <c r="M13" s="23"/>
      <c r="N13" s="23"/>
      <c r="O13" s="24"/>
    </row>
    <row r="14" spans="1:15" x14ac:dyDescent="0.35">
      <c r="A14" s="22"/>
      <c r="B14" s="23"/>
      <c r="C14" s="23"/>
      <c r="D14" s="23"/>
      <c r="E14" s="23"/>
      <c r="F14" s="23"/>
      <c r="G14" s="23"/>
      <c r="H14" s="23"/>
      <c r="I14" s="23"/>
      <c r="J14" s="23"/>
      <c r="K14" s="23"/>
      <c r="L14" s="23"/>
      <c r="M14" s="23"/>
      <c r="N14" s="23"/>
      <c r="O14" s="24"/>
    </row>
    <row r="15" spans="1:15" x14ac:dyDescent="0.35">
      <c r="A15" s="22"/>
      <c r="B15" s="23"/>
      <c r="C15" s="23"/>
      <c r="D15" s="23"/>
      <c r="E15" s="23"/>
      <c r="F15" s="23"/>
      <c r="G15" s="23"/>
      <c r="H15" s="23"/>
      <c r="I15" s="23"/>
      <c r="J15" s="23"/>
      <c r="K15" s="23"/>
      <c r="L15" s="23"/>
      <c r="M15" s="23"/>
      <c r="N15" s="23"/>
      <c r="O15" s="24"/>
    </row>
    <row r="16" spans="1:15" x14ac:dyDescent="0.35">
      <c r="A16" s="22"/>
      <c r="B16" s="23"/>
      <c r="C16" s="23"/>
      <c r="D16" s="23"/>
      <c r="E16" s="23"/>
      <c r="F16" s="23"/>
      <c r="G16" s="23"/>
      <c r="H16" s="23"/>
      <c r="I16" s="23"/>
      <c r="J16" s="23"/>
      <c r="K16" s="23"/>
      <c r="L16" s="23"/>
      <c r="M16" s="23"/>
      <c r="N16" s="23"/>
      <c r="O16" s="24"/>
    </row>
    <row r="17" spans="1:15" x14ac:dyDescent="0.35">
      <c r="A17" s="22"/>
      <c r="B17" s="23"/>
      <c r="C17" s="23"/>
      <c r="D17" s="23"/>
      <c r="E17" s="23"/>
      <c r="F17" s="23"/>
      <c r="G17" s="23"/>
      <c r="H17" s="23"/>
      <c r="I17" s="23"/>
      <c r="J17" s="23"/>
      <c r="K17" s="23"/>
      <c r="L17" s="23"/>
      <c r="M17" s="23"/>
      <c r="N17" s="23"/>
      <c r="O17" s="24"/>
    </row>
    <row r="18" spans="1:15" x14ac:dyDescent="0.35">
      <c r="A18" s="22"/>
      <c r="B18" s="23"/>
      <c r="C18" s="23"/>
      <c r="D18" s="23"/>
      <c r="E18" s="23"/>
      <c r="F18" s="23"/>
      <c r="G18" s="23"/>
      <c r="H18" s="23"/>
      <c r="I18" s="23"/>
      <c r="J18" s="23"/>
      <c r="K18" s="23"/>
      <c r="L18" s="23"/>
      <c r="M18" s="23"/>
      <c r="N18" s="23"/>
      <c r="O18" s="24"/>
    </row>
    <row r="19" spans="1:15" x14ac:dyDescent="0.35">
      <c r="A19" s="22"/>
      <c r="B19" s="23"/>
      <c r="C19" s="23"/>
      <c r="D19" s="23"/>
      <c r="E19" s="23"/>
      <c r="F19" s="23"/>
      <c r="G19" s="23"/>
      <c r="H19" s="23"/>
      <c r="I19" s="23"/>
      <c r="J19" s="23"/>
      <c r="K19" s="23"/>
      <c r="L19" s="23"/>
      <c r="M19" s="23"/>
      <c r="N19" s="23"/>
      <c r="O19" s="24"/>
    </row>
    <row r="20" spans="1:15" x14ac:dyDescent="0.35">
      <c r="A20" s="22"/>
      <c r="B20" s="23"/>
      <c r="C20" s="23"/>
      <c r="D20" s="23"/>
      <c r="E20" s="23"/>
      <c r="F20" s="23"/>
      <c r="G20" s="23"/>
      <c r="H20" s="23"/>
      <c r="I20" s="23"/>
      <c r="J20" s="23"/>
      <c r="K20" s="23"/>
      <c r="L20" s="23"/>
      <c r="M20" s="23"/>
      <c r="N20" s="23"/>
      <c r="O20" s="24"/>
    </row>
    <row r="21" spans="1:15" ht="18.5" x14ac:dyDescent="0.35">
      <c r="A21" s="22"/>
      <c r="B21" s="57" t="s">
        <v>11</v>
      </c>
      <c r="C21" s="58"/>
      <c r="D21" s="58"/>
      <c r="E21" s="58"/>
      <c r="F21" s="58"/>
      <c r="G21" s="58"/>
      <c r="H21" s="58"/>
      <c r="I21" s="58"/>
      <c r="J21" s="58"/>
      <c r="K21" s="58"/>
      <c r="L21" s="58"/>
      <c r="M21" s="58"/>
      <c r="N21" s="58"/>
      <c r="O21" s="24"/>
    </row>
    <row r="22" spans="1:15" x14ac:dyDescent="0.35">
      <c r="A22" s="22"/>
      <c r="B22" s="23"/>
      <c r="C22" s="23"/>
      <c r="D22" s="23"/>
      <c r="E22" s="23"/>
      <c r="F22" s="23"/>
      <c r="G22" s="23"/>
      <c r="H22" s="23"/>
      <c r="I22" s="23"/>
      <c r="J22" s="23"/>
      <c r="K22" s="23"/>
      <c r="L22" s="23"/>
      <c r="M22" s="23"/>
      <c r="N22" s="23"/>
      <c r="O22" s="24"/>
    </row>
    <row r="23" spans="1:15" ht="15" thickBot="1" x14ac:dyDescent="0.4">
      <c r="A23" s="25"/>
      <c r="B23" s="26"/>
      <c r="C23" s="26"/>
      <c r="D23" s="26"/>
      <c r="E23" s="26"/>
      <c r="F23" s="26"/>
      <c r="G23" s="26"/>
      <c r="H23" s="26"/>
      <c r="I23" s="26"/>
      <c r="J23" s="26"/>
      <c r="K23" s="26"/>
      <c r="L23" s="26"/>
      <c r="M23" s="26"/>
      <c r="N23" s="26"/>
      <c r="O23" s="27"/>
    </row>
  </sheetData>
  <mergeCells count="1">
    <mergeCell ref="B21:N2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BBB9B-40C8-4686-B228-6177B806215B}">
  <dimension ref="A1:X35"/>
  <sheetViews>
    <sheetView zoomScale="70" zoomScaleNormal="70" workbookViewId="0"/>
  </sheetViews>
  <sheetFormatPr defaultRowHeight="14.5" x14ac:dyDescent="0.35"/>
  <sheetData>
    <row r="1" spans="1:24" x14ac:dyDescent="0.35">
      <c r="A1" s="19"/>
      <c r="B1" s="20"/>
      <c r="C1" s="20"/>
      <c r="D1" s="20"/>
      <c r="E1" s="20"/>
      <c r="F1" s="20"/>
      <c r="G1" s="20"/>
      <c r="H1" s="20"/>
      <c r="I1" s="20"/>
      <c r="J1" s="20"/>
      <c r="K1" s="20"/>
      <c r="L1" s="20"/>
      <c r="M1" s="20"/>
      <c r="N1" s="20"/>
      <c r="O1" s="20"/>
      <c r="P1" s="20"/>
      <c r="Q1" s="20"/>
      <c r="R1" s="20"/>
      <c r="S1" s="20"/>
      <c r="T1" s="20"/>
      <c r="U1" s="20"/>
      <c r="V1" s="20"/>
      <c r="W1" s="20"/>
      <c r="X1" s="21"/>
    </row>
    <row r="2" spans="1:24" x14ac:dyDescent="0.35">
      <c r="A2" s="22"/>
      <c r="B2" s="23"/>
      <c r="C2" s="23"/>
      <c r="D2" s="23"/>
      <c r="E2" s="23"/>
      <c r="F2" s="23"/>
      <c r="G2" s="23"/>
      <c r="H2" s="23"/>
      <c r="I2" s="23"/>
      <c r="J2" s="23"/>
      <c r="K2" s="23"/>
      <c r="L2" s="23"/>
      <c r="M2" s="23"/>
      <c r="N2" s="23"/>
      <c r="O2" s="23"/>
      <c r="P2" s="23"/>
      <c r="Q2" s="23"/>
      <c r="R2" s="23"/>
      <c r="S2" s="23"/>
      <c r="T2" s="23"/>
      <c r="U2" s="23"/>
      <c r="V2" s="23"/>
      <c r="W2" s="23"/>
      <c r="X2" s="24"/>
    </row>
    <row r="3" spans="1:24" x14ac:dyDescent="0.35">
      <c r="A3" s="22"/>
      <c r="B3" s="23"/>
      <c r="C3" s="23"/>
      <c r="D3" s="23"/>
      <c r="E3" s="23"/>
      <c r="F3" s="23"/>
      <c r="G3" s="23"/>
      <c r="H3" s="23"/>
      <c r="I3" s="23"/>
      <c r="J3" s="23"/>
      <c r="K3" s="23"/>
      <c r="L3" s="23"/>
      <c r="M3" s="23"/>
      <c r="N3" s="23"/>
      <c r="O3" s="23"/>
      <c r="P3" s="23"/>
      <c r="Q3" s="23"/>
      <c r="R3" s="23"/>
      <c r="S3" s="23"/>
      <c r="T3" s="23"/>
      <c r="U3" s="23"/>
      <c r="V3" s="23"/>
      <c r="W3" s="23"/>
      <c r="X3" s="24"/>
    </row>
    <row r="4" spans="1:24" x14ac:dyDescent="0.35">
      <c r="A4" s="22"/>
      <c r="B4" s="23"/>
      <c r="C4" s="23"/>
      <c r="D4" s="23"/>
      <c r="E4" s="23"/>
      <c r="F4" s="23"/>
      <c r="G4" s="23"/>
      <c r="H4" s="23"/>
      <c r="I4" s="23"/>
      <c r="J4" s="23"/>
      <c r="K4" s="23"/>
      <c r="L4" s="23"/>
      <c r="M4" s="23"/>
      <c r="N4" s="23"/>
      <c r="O4" s="23"/>
      <c r="P4" s="23"/>
      <c r="Q4" s="23"/>
      <c r="R4" s="23"/>
      <c r="S4" s="23"/>
      <c r="T4" s="23"/>
      <c r="U4" s="23"/>
      <c r="V4" s="23"/>
      <c r="W4" s="23"/>
      <c r="X4" s="24"/>
    </row>
    <row r="5" spans="1:24" x14ac:dyDescent="0.35">
      <c r="A5" s="22"/>
      <c r="B5" s="23"/>
      <c r="C5" s="23"/>
      <c r="D5" s="23"/>
      <c r="E5" s="23"/>
      <c r="F5" s="23"/>
      <c r="G5" s="23"/>
      <c r="H5" s="23"/>
      <c r="I5" s="23"/>
      <c r="J5" s="23"/>
      <c r="K5" s="23"/>
      <c r="L5" s="23"/>
      <c r="M5" s="23"/>
      <c r="N5" s="23"/>
      <c r="O5" s="23"/>
      <c r="P5" s="23"/>
      <c r="Q5" s="23"/>
      <c r="R5" s="23"/>
      <c r="S5" s="23"/>
      <c r="T5" s="23"/>
      <c r="U5" s="23"/>
      <c r="V5" s="23"/>
      <c r="W5" s="23"/>
      <c r="X5" s="24"/>
    </row>
    <row r="6" spans="1:24" x14ac:dyDescent="0.35">
      <c r="A6" s="22"/>
      <c r="B6" s="23"/>
      <c r="C6" s="23"/>
      <c r="D6" s="23"/>
      <c r="E6" s="23"/>
      <c r="F6" s="23"/>
      <c r="G6" s="23"/>
      <c r="H6" s="23"/>
      <c r="I6" s="23"/>
      <c r="J6" s="23"/>
      <c r="K6" s="23"/>
      <c r="L6" s="23"/>
      <c r="M6" s="23"/>
      <c r="N6" s="23"/>
      <c r="O6" s="23"/>
      <c r="P6" s="23"/>
      <c r="Q6" s="23"/>
      <c r="R6" s="23"/>
      <c r="S6" s="23"/>
      <c r="T6" s="23"/>
      <c r="U6" s="23"/>
      <c r="V6" s="23"/>
      <c r="W6" s="23"/>
      <c r="X6" s="24"/>
    </row>
    <row r="7" spans="1:24" x14ac:dyDescent="0.35">
      <c r="A7" s="22"/>
      <c r="B7" s="23"/>
      <c r="C7" s="23"/>
      <c r="D7" s="23"/>
      <c r="E7" s="23"/>
      <c r="F7" s="23"/>
      <c r="G7" s="23"/>
      <c r="H7" s="23"/>
      <c r="I7" s="23"/>
      <c r="J7" s="23"/>
      <c r="K7" s="23"/>
      <c r="L7" s="23"/>
      <c r="M7" s="23"/>
      <c r="N7" s="23"/>
      <c r="O7" s="23"/>
      <c r="P7" s="23"/>
      <c r="Q7" s="23"/>
      <c r="R7" s="23"/>
      <c r="S7" s="23"/>
      <c r="T7" s="23"/>
      <c r="U7" s="23"/>
      <c r="V7" s="23"/>
      <c r="W7" s="23"/>
      <c r="X7" s="24"/>
    </row>
    <row r="8" spans="1:24" x14ac:dyDescent="0.35">
      <c r="A8" s="22"/>
      <c r="B8" s="23"/>
      <c r="C8" s="23"/>
      <c r="D8" s="23"/>
      <c r="E8" s="23"/>
      <c r="F8" s="23"/>
      <c r="G8" s="23"/>
      <c r="H8" s="23"/>
      <c r="I8" s="23"/>
      <c r="J8" s="23"/>
      <c r="K8" s="23"/>
      <c r="L8" s="23"/>
      <c r="M8" s="23"/>
      <c r="N8" s="23"/>
      <c r="O8" s="23"/>
      <c r="P8" s="23"/>
      <c r="Q8" s="23"/>
      <c r="R8" s="23"/>
      <c r="S8" s="23"/>
      <c r="T8" s="23"/>
      <c r="U8" s="23"/>
      <c r="V8" s="23"/>
      <c r="W8" s="23"/>
      <c r="X8" s="24"/>
    </row>
    <row r="9" spans="1:24" x14ac:dyDescent="0.35">
      <c r="A9" s="22"/>
      <c r="B9" s="23"/>
      <c r="C9" s="23"/>
      <c r="D9" s="23"/>
      <c r="E9" s="23"/>
      <c r="F9" s="23"/>
      <c r="G9" s="23"/>
      <c r="H9" s="23"/>
      <c r="I9" s="23"/>
      <c r="J9" s="23"/>
      <c r="K9" s="23"/>
      <c r="L9" s="23"/>
      <c r="M9" s="23"/>
      <c r="N9" s="23"/>
      <c r="O9" s="23"/>
      <c r="P9" s="23"/>
      <c r="Q9" s="23"/>
      <c r="R9" s="23"/>
      <c r="S9" s="23"/>
      <c r="T9" s="23"/>
      <c r="U9" s="23"/>
      <c r="V9" s="23"/>
      <c r="W9" s="23"/>
      <c r="X9" s="24"/>
    </row>
    <row r="10" spans="1:24" x14ac:dyDescent="0.35">
      <c r="A10" s="22"/>
      <c r="B10" s="23"/>
      <c r="C10" s="23"/>
      <c r="D10" s="23"/>
      <c r="E10" s="23"/>
      <c r="F10" s="23"/>
      <c r="G10" s="23"/>
      <c r="H10" s="23"/>
      <c r="I10" s="23"/>
      <c r="J10" s="23"/>
      <c r="K10" s="23"/>
      <c r="L10" s="23"/>
      <c r="M10" s="23"/>
      <c r="N10" s="23"/>
      <c r="O10" s="23"/>
      <c r="P10" s="23"/>
      <c r="Q10" s="23"/>
      <c r="R10" s="23"/>
      <c r="S10" s="23"/>
      <c r="T10" s="23"/>
      <c r="U10" s="23"/>
      <c r="V10" s="23"/>
      <c r="W10" s="23"/>
      <c r="X10" s="24"/>
    </row>
    <row r="11" spans="1:24" x14ac:dyDescent="0.35">
      <c r="A11" s="22"/>
      <c r="B11" s="23"/>
      <c r="C11" s="23"/>
      <c r="D11" s="23"/>
      <c r="E11" s="23"/>
      <c r="F11" s="23"/>
      <c r="G11" s="23"/>
      <c r="H11" s="23"/>
      <c r="I11" s="23"/>
      <c r="J11" s="23"/>
      <c r="K11" s="23"/>
      <c r="L11" s="23"/>
      <c r="M11" s="23"/>
      <c r="N11" s="23"/>
      <c r="O11" s="23"/>
      <c r="P11" s="23"/>
      <c r="Q11" s="23"/>
      <c r="R11" s="23"/>
      <c r="S11" s="23"/>
      <c r="T11" s="23"/>
      <c r="U11" s="23"/>
      <c r="V11" s="23"/>
      <c r="W11" s="23"/>
      <c r="X11" s="24"/>
    </row>
    <row r="12" spans="1:24" x14ac:dyDescent="0.35">
      <c r="A12" s="22"/>
      <c r="B12" s="23"/>
      <c r="C12" s="23"/>
      <c r="D12" s="23"/>
      <c r="E12" s="23"/>
      <c r="F12" s="23"/>
      <c r="G12" s="23"/>
      <c r="H12" s="23"/>
      <c r="I12" s="23"/>
      <c r="J12" s="23"/>
      <c r="K12" s="23"/>
      <c r="L12" s="23"/>
      <c r="M12" s="23"/>
      <c r="N12" s="23"/>
      <c r="O12" s="23"/>
      <c r="P12" s="23"/>
      <c r="Q12" s="23"/>
      <c r="R12" s="23"/>
      <c r="S12" s="23"/>
      <c r="T12" s="23"/>
      <c r="U12" s="23"/>
      <c r="V12" s="23"/>
      <c r="W12" s="23"/>
      <c r="X12" s="24"/>
    </row>
    <row r="13" spans="1:24" x14ac:dyDescent="0.35">
      <c r="A13" s="22"/>
      <c r="B13" s="23"/>
      <c r="C13" s="23"/>
      <c r="D13" s="23"/>
      <c r="E13" s="23"/>
      <c r="F13" s="23"/>
      <c r="G13" s="23"/>
      <c r="H13" s="23"/>
      <c r="I13" s="23"/>
      <c r="J13" s="23"/>
      <c r="K13" s="23"/>
      <c r="L13" s="23"/>
      <c r="M13" s="23"/>
      <c r="N13" s="23"/>
      <c r="O13" s="23"/>
      <c r="P13" s="23"/>
      <c r="Q13" s="23"/>
      <c r="R13" s="23"/>
      <c r="S13" s="23"/>
      <c r="T13" s="23"/>
      <c r="U13" s="23"/>
      <c r="V13" s="23"/>
      <c r="W13" s="23"/>
      <c r="X13" s="24"/>
    </row>
    <row r="14" spans="1:24" x14ac:dyDescent="0.35">
      <c r="A14" s="22"/>
      <c r="B14" s="23"/>
      <c r="C14" s="23"/>
      <c r="D14" s="23"/>
      <c r="E14" s="23"/>
      <c r="F14" s="23"/>
      <c r="G14" s="23"/>
      <c r="H14" s="23"/>
      <c r="I14" s="23"/>
      <c r="J14" s="23"/>
      <c r="K14" s="23"/>
      <c r="L14" s="23"/>
      <c r="M14" s="23"/>
      <c r="N14" s="23"/>
      <c r="O14" s="23"/>
      <c r="P14" s="23"/>
      <c r="Q14" s="23"/>
      <c r="R14" s="23"/>
      <c r="S14" s="23"/>
      <c r="T14" s="23"/>
      <c r="U14" s="23"/>
      <c r="V14" s="23"/>
      <c r="W14" s="23"/>
      <c r="X14" s="24"/>
    </row>
    <row r="15" spans="1:24" x14ac:dyDescent="0.35">
      <c r="A15" s="22"/>
      <c r="B15" s="23"/>
      <c r="C15" s="23"/>
      <c r="D15" s="23"/>
      <c r="E15" s="23"/>
      <c r="F15" s="23"/>
      <c r="G15" s="23"/>
      <c r="H15" s="23"/>
      <c r="I15" s="23"/>
      <c r="J15" s="23"/>
      <c r="K15" s="23"/>
      <c r="L15" s="23"/>
      <c r="M15" s="23"/>
      <c r="N15" s="23"/>
      <c r="O15" s="23"/>
      <c r="P15" s="23"/>
      <c r="Q15" s="23"/>
      <c r="R15" s="23"/>
      <c r="S15" s="23"/>
      <c r="T15" s="23"/>
      <c r="U15" s="23"/>
      <c r="V15" s="23"/>
      <c r="W15" s="23"/>
      <c r="X15" s="24"/>
    </row>
    <row r="16" spans="1:24" x14ac:dyDescent="0.35">
      <c r="A16" s="22"/>
      <c r="B16" s="23"/>
      <c r="C16" s="23"/>
      <c r="D16" s="23"/>
      <c r="E16" s="23"/>
      <c r="F16" s="23"/>
      <c r="G16" s="23"/>
      <c r="H16" s="23"/>
      <c r="I16" s="23"/>
      <c r="J16" s="23"/>
      <c r="K16" s="23"/>
      <c r="L16" s="23"/>
      <c r="M16" s="23"/>
      <c r="N16" s="23"/>
      <c r="O16" s="23"/>
      <c r="P16" s="23"/>
      <c r="Q16" s="23"/>
      <c r="R16" s="23"/>
      <c r="S16" s="23"/>
      <c r="T16" s="23"/>
      <c r="U16" s="23"/>
      <c r="V16" s="23"/>
      <c r="W16" s="23"/>
      <c r="X16" s="24"/>
    </row>
    <row r="17" spans="1:24" x14ac:dyDescent="0.35">
      <c r="A17" s="22"/>
      <c r="B17" s="23"/>
      <c r="C17" s="23"/>
      <c r="D17" s="23"/>
      <c r="E17" s="23"/>
      <c r="F17" s="23"/>
      <c r="G17" s="23"/>
      <c r="H17" s="23"/>
      <c r="I17" s="23"/>
      <c r="J17" s="23"/>
      <c r="K17" s="23"/>
      <c r="L17" s="23"/>
      <c r="M17" s="23"/>
      <c r="N17" s="23"/>
      <c r="O17" s="23"/>
      <c r="P17" s="23"/>
      <c r="Q17" s="23"/>
      <c r="R17" s="23"/>
      <c r="S17" s="23"/>
      <c r="T17" s="23"/>
      <c r="U17" s="23"/>
      <c r="V17" s="23"/>
      <c r="W17" s="23"/>
      <c r="X17" s="24"/>
    </row>
    <row r="18" spans="1:24" x14ac:dyDescent="0.35">
      <c r="A18" s="22"/>
      <c r="B18" s="23"/>
      <c r="C18" s="23"/>
      <c r="D18" s="23"/>
      <c r="E18" s="23"/>
      <c r="F18" s="23"/>
      <c r="G18" s="23"/>
      <c r="H18" s="23"/>
      <c r="I18" s="23"/>
      <c r="J18" s="23"/>
      <c r="K18" s="23"/>
      <c r="L18" s="23"/>
      <c r="M18" s="23"/>
      <c r="N18" s="23"/>
      <c r="O18" s="23"/>
      <c r="P18" s="23"/>
      <c r="Q18" s="23"/>
      <c r="R18" s="23"/>
      <c r="S18" s="23"/>
      <c r="T18" s="23"/>
      <c r="U18" s="23"/>
      <c r="V18" s="23"/>
      <c r="W18" s="23"/>
      <c r="X18" s="24"/>
    </row>
    <row r="19" spans="1:24" x14ac:dyDescent="0.35">
      <c r="A19" s="22"/>
      <c r="B19" s="23"/>
      <c r="C19" s="23"/>
      <c r="D19" s="23"/>
      <c r="E19" s="23"/>
      <c r="F19" s="23"/>
      <c r="G19" s="23"/>
      <c r="H19" s="23"/>
      <c r="I19" s="23"/>
      <c r="J19" s="23"/>
      <c r="K19" s="23"/>
      <c r="L19" s="23"/>
      <c r="M19" s="23"/>
      <c r="N19" s="23"/>
      <c r="O19" s="23"/>
      <c r="P19" s="23"/>
      <c r="Q19" s="23"/>
      <c r="R19" s="23"/>
      <c r="S19" s="23"/>
      <c r="T19" s="23"/>
      <c r="U19" s="23"/>
      <c r="V19" s="23"/>
      <c r="W19" s="23"/>
      <c r="X19" s="24"/>
    </row>
    <row r="20" spans="1:24" x14ac:dyDescent="0.35">
      <c r="A20" s="22"/>
      <c r="B20" s="23"/>
      <c r="C20" s="23"/>
      <c r="D20" s="23"/>
      <c r="E20" s="23"/>
      <c r="F20" s="23"/>
      <c r="G20" s="23"/>
      <c r="H20" s="23"/>
      <c r="I20" s="23"/>
      <c r="J20" s="23"/>
      <c r="K20" s="23"/>
      <c r="L20" s="23"/>
      <c r="M20" s="23"/>
      <c r="N20" s="23"/>
      <c r="O20" s="23"/>
      <c r="P20" s="23"/>
      <c r="Q20" s="23"/>
      <c r="R20" s="23"/>
      <c r="S20" s="23"/>
      <c r="T20" s="23"/>
      <c r="U20" s="23"/>
      <c r="V20" s="23"/>
      <c r="W20" s="23"/>
      <c r="X20" s="24"/>
    </row>
    <row r="21" spans="1:24" x14ac:dyDescent="0.35">
      <c r="A21" s="22"/>
      <c r="B21" s="23"/>
      <c r="C21" s="23"/>
      <c r="D21" s="23"/>
      <c r="E21" s="23"/>
      <c r="F21" s="23"/>
      <c r="G21" s="23"/>
      <c r="H21" s="23"/>
      <c r="I21" s="23"/>
      <c r="J21" s="23"/>
      <c r="K21" s="23"/>
      <c r="L21" s="23"/>
      <c r="M21" s="23"/>
      <c r="N21" s="23"/>
      <c r="O21" s="23"/>
      <c r="P21" s="23"/>
      <c r="Q21" s="23"/>
      <c r="R21" s="23"/>
      <c r="S21" s="23"/>
      <c r="T21" s="23"/>
      <c r="U21" s="23"/>
      <c r="V21" s="23"/>
      <c r="W21" s="23"/>
      <c r="X21" s="24"/>
    </row>
    <row r="22" spans="1:24" x14ac:dyDescent="0.35">
      <c r="A22" s="22"/>
      <c r="B22" s="23"/>
      <c r="C22" s="23"/>
      <c r="D22" s="23"/>
      <c r="E22" s="23"/>
      <c r="F22" s="23"/>
      <c r="G22" s="23"/>
      <c r="H22" s="23"/>
      <c r="I22" s="23"/>
      <c r="J22" s="23"/>
      <c r="K22" s="23"/>
      <c r="L22" s="23"/>
      <c r="M22" s="23"/>
      <c r="N22" s="23"/>
      <c r="O22" s="23"/>
      <c r="P22" s="23"/>
      <c r="Q22" s="23"/>
      <c r="R22" s="23"/>
      <c r="S22" s="23"/>
      <c r="T22" s="23"/>
      <c r="U22" s="23"/>
      <c r="V22" s="23"/>
      <c r="W22" s="23"/>
      <c r="X22" s="24"/>
    </row>
    <row r="23" spans="1:24" x14ac:dyDescent="0.35">
      <c r="A23" s="22"/>
      <c r="B23" s="23"/>
      <c r="C23" s="23"/>
      <c r="D23" s="23"/>
      <c r="E23" s="23"/>
      <c r="F23" s="23"/>
      <c r="G23" s="23"/>
      <c r="H23" s="23"/>
      <c r="I23" s="23"/>
      <c r="J23" s="23"/>
      <c r="K23" s="23"/>
      <c r="L23" s="23"/>
      <c r="M23" s="23"/>
      <c r="N23" s="23"/>
      <c r="O23" s="23"/>
      <c r="P23" s="23"/>
      <c r="Q23" s="23"/>
      <c r="R23" s="23"/>
      <c r="S23" s="23"/>
      <c r="T23" s="23"/>
      <c r="U23" s="23"/>
      <c r="V23" s="23"/>
      <c r="W23" s="23"/>
      <c r="X23" s="24"/>
    </row>
    <row r="24" spans="1:24" x14ac:dyDescent="0.35">
      <c r="A24" s="22"/>
      <c r="B24" s="23"/>
      <c r="C24" s="23"/>
      <c r="D24" s="23"/>
      <c r="E24" s="23"/>
      <c r="F24" s="23"/>
      <c r="G24" s="23"/>
      <c r="H24" s="23"/>
      <c r="I24" s="23"/>
      <c r="J24" s="23"/>
      <c r="K24" s="23"/>
      <c r="L24" s="23"/>
      <c r="M24" s="23"/>
      <c r="N24" s="23"/>
      <c r="O24" s="23"/>
      <c r="P24" s="23"/>
      <c r="Q24" s="23"/>
      <c r="R24" s="23"/>
      <c r="S24" s="23"/>
      <c r="T24" s="23"/>
      <c r="U24" s="23"/>
      <c r="V24" s="23"/>
      <c r="W24" s="23"/>
      <c r="X24" s="24"/>
    </row>
    <row r="25" spans="1:24" x14ac:dyDescent="0.35">
      <c r="A25" s="22"/>
      <c r="B25" s="23"/>
      <c r="C25" s="23"/>
      <c r="D25" s="23"/>
      <c r="E25" s="23"/>
      <c r="F25" s="23"/>
      <c r="G25" s="23"/>
      <c r="H25" s="23"/>
      <c r="I25" s="23"/>
      <c r="J25" s="23"/>
      <c r="K25" s="23"/>
      <c r="L25" s="23"/>
      <c r="M25" s="23"/>
      <c r="N25" s="23"/>
      <c r="O25" s="23"/>
      <c r="P25" s="23"/>
      <c r="Q25" s="23"/>
      <c r="R25" s="23"/>
      <c r="S25" s="23"/>
      <c r="T25" s="23"/>
      <c r="U25" s="23"/>
      <c r="V25" s="23"/>
      <c r="W25" s="23"/>
      <c r="X25" s="24"/>
    </row>
    <row r="26" spans="1:24" x14ac:dyDescent="0.35">
      <c r="A26" s="22"/>
      <c r="B26" s="23"/>
      <c r="C26" s="23"/>
      <c r="D26" s="23"/>
      <c r="E26" s="23"/>
      <c r="F26" s="23"/>
      <c r="G26" s="23"/>
      <c r="H26" s="23"/>
      <c r="I26" s="23"/>
      <c r="J26" s="23"/>
      <c r="K26" s="23"/>
      <c r="L26" s="23"/>
      <c r="M26" s="23"/>
      <c r="N26" s="23"/>
      <c r="O26" s="23"/>
      <c r="P26" s="23"/>
      <c r="Q26" s="23"/>
      <c r="R26" s="23"/>
      <c r="S26" s="23"/>
      <c r="T26" s="23"/>
      <c r="U26" s="23"/>
      <c r="V26" s="23"/>
      <c r="W26" s="23"/>
      <c r="X26" s="24"/>
    </row>
    <row r="27" spans="1:24" x14ac:dyDescent="0.35">
      <c r="A27" s="22"/>
      <c r="B27" s="23"/>
      <c r="C27" s="23"/>
      <c r="D27" s="23"/>
      <c r="E27" s="23"/>
      <c r="F27" s="23"/>
      <c r="G27" s="23"/>
      <c r="H27" s="23"/>
      <c r="I27" s="23"/>
      <c r="J27" s="23"/>
      <c r="K27" s="23"/>
      <c r="L27" s="23"/>
      <c r="M27" s="23"/>
      <c r="N27" s="23"/>
      <c r="O27" s="23"/>
      <c r="P27" s="23"/>
      <c r="Q27" s="23"/>
      <c r="R27" s="23"/>
      <c r="S27" s="23"/>
      <c r="T27" s="23"/>
      <c r="U27" s="23"/>
      <c r="V27" s="23"/>
      <c r="W27" s="23"/>
      <c r="X27" s="24"/>
    </row>
    <row r="28" spans="1:24" x14ac:dyDescent="0.35">
      <c r="A28" s="22"/>
      <c r="B28" s="23"/>
      <c r="C28" s="23"/>
      <c r="D28" s="23"/>
      <c r="E28" s="23"/>
      <c r="F28" s="23"/>
      <c r="G28" s="23"/>
      <c r="H28" s="23"/>
      <c r="I28" s="23"/>
      <c r="J28" s="23"/>
      <c r="K28" s="23"/>
      <c r="L28" s="23"/>
      <c r="M28" s="23"/>
      <c r="N28" s="23"/>
      <c r="O28" s="23"/>
      <c r="P28" s="23"/>
      <c r="Q28" s="23"/>
      <c r="R28" s="23"/>
      <c r="S28" s="23"/>
      <c r="T28" s="23"/>
      <c r="U28" s="23"/>
      <c r="V28" s="23"/>
      <c r="W28" s="23"/>
      <c r="X28" s="24"/>
    </row>
    <row r="29" spans="1:24" x14ac:dyDescent="0.35">
      <c r="A29" s="22"/>
      <c r="B29" s="23"/>
      <c r="C29" s="23"/>
      <c r="D29" s="23"/>
      <c r="E29" s="23"/>
      <c r="F29" s="23"/>
      <c r="G29" s="23"/>
      <c r="H29" s="23"/>
      <c r="I29" s="23"/>
      <c r="J29" s="23"/>
      <c r="K29" s="23"/>
      <c r="L29" s="23"/>
      <c r="M29" s="23"/>
      <c r="N29" s="23"/>
      <c r="O29" s="23"/>
      <c r="P29" s="23"/>
      <c r="Q29" s="23"/>
      <c r="R29" s="23"/>
      <c r="S29" s="23"/>
      <c r="T29" s="23"/>
      <c r="U29" s="23"/>
      <c r="V29" s="23"/>
      <c r="W29" s="23"/>
      <c r="X29" s="24"/>
    </row>
    <row r="30" spans="1:24" x14ac:dyDescent="0.35">
      <c r="A30" s="22"/>
      <c r="B30" s="23"/>
      <c r="C30" s="23"/>
      <c r="D30" s="23"/>
      <c r="E30" s="23"/>
      <c r="F30" s="23"/>
      <c r="G30" s="23"/>
      <c r="H30" s="23"/>
      <c r="I30" s="23"/>
      <c r="J30" s="23"/>
      <c r="K30" s="23"/>
      <c r="L30" s="23"/>
      <c r="M30" s="23"/>
      <c r="N30" s="23"/>
      <c r="O30" s="23"/>
      <c r="P30" s="23"/>
      <c r="Q30" s="23"/>
      <c r="R30" s="23"/>
      <c r="S30" s="23"/>
      <c r="T30" s="23"/>
      <c r="U30" s="23"/>
      <c r="V30" s="23"/>
      <c r="W30" s="23"/>
      <c r="X30" s="24"/>
    </row>
    <row r="31" spans="1:24" x14ac:dyDescent="0.35">
      <c r="A31" s="22"/>
      <c r="B31" s="23"/>
      <c r="C31" s="23"/>
      <c r="D31" s="23"/>
      <c r="E31" s="23"/>
      <c r="F31" s="23"/>
      <c r="G31" s="23"/>
      <c r="H31" s="23"/>
      <c r="I31" s="23"/>
      <c r="J31" s="23"/>
      <c r="K31" s="23"/>
      <c r="L31" s="23"/>
      <c r="M31" s="23"/>
      <c r="N31" s="23"/>
      <c r="O31" s="23"/>
      <c r="P31" s="23"/>
      <c r="Q31" s="23"/>
      <c r="R31" s="23"/>
      <c r="S31" s="23"/>
      <c r="T31" s="23"/>
      <c r="U31" s="23"/>
      <c r="V31" s="23"/>
      <c r="W31" s="23"/>
      <c r="X31" s="24"/>
    </row>
    <row r="32" spans="1:24" x14ac:dyDescent="0.35">
      <c r="A32" s="22"/>
      <c r="B32" s="23"/>
      <c r="C32" s="23"/>
      <c r="D32" s="59" t="s">
        <v>12</v>
      </c>
      <c r="E32" s="59"/>
      <c r="F32" s="59"/>
      <c r="G32" s="59"/>
      <c r="H32" s="59"/>
      <c r="I32" s="59"/>
      <c r="J32" s="59"/>
      <c r="K32" s="59"/>
      <c r="L32" s="59"/>
      <c r="M32" s="59"/>
      <c r="N32" s="59"/>
      <c r="O32" s="59"/>
      <c r="P32" s="59"/>
      <c r="Q32" s="59"/>
      <c r="R32" s="59"/>
      <c r="S32" s="59"/>
      <c r="T32" s="59"/>
      <c r="U32" s="59"/>
      <c r="V32" s="23"/>
      <c r="W32" s="23"/>
      <c r="X32" s="24"/>
    </row>
    <row r="33" spans="1:24" x14ac:dyDescent="0.35">
      <c r="A33" s="22"/>
      <c r="B33" s="23"/>
      <c r="C33" s="23"/>
      <c r="D33" s="59"/>
      <c r="E33" s="59"/>
      <c r="F33" s="59"/>
      <c r="G33" s="59"/>
      <c r="H33" s="59"/>
      <c r="I33" s="59"/>
      <c r="J33" s="59"/>
      <c r="K33" s="59"/>
      <c r="L33" s="59"/>
      <c r="M33" s="59"/>
      <c r="N33" s="59"/>
      <c r="O33" s="59"/>
      <c r="P33" s="59"/>
      <c r="Q33" s="59"/>
      <c r="R33" s="59"/>
      <c r="S33" s="59"/>
      <c r="T33" s="59"/>
      <c r="U33" s="59"/>
      <c r="V33" s="23"/>
      <c r="W33" s="23"/>
      <c r="X33" s="24"/>
    </row>
    <row r="34" spans="1:24" x14ac:dyDescent="0.35">
      <c r="A34" s="22"/>
      <c r="B34" s="23"/>
      <c r="C34" s="23"/>
      <c r="D34" s="23"/>
      <c r="E34" s="23"/>
      <c r="F34" s="23"/>
      <c r="G34" s="23"/>
      <c r="H34" s="23"/>
      <c r="I34" s="23"/>
      <c r="J34" s="23"/>
      <c r="K34" s="23"/>
      <c r="L34" s="23"/>
      <c r="M34" s="23"/>
      <c r="N34" s="23"/>
      <c r="O34" s="23"/>
      <c r="P34" s="23"/>
      <c r="Q34" s="23"/>
      <c r="R34" s="23"/>
      <c r="S34" s="23"/>
      <c r="T34" s="23"/>
      <c r="U34" s="23"/>
      <c r="V34" s="23"/>
      <c r="W34" s="23"/>
      <c r="X34" s="24"/>
    </row>
    <row r="35" spans="1:24" ht="15" thickBot="1" x14ac:dyDescent="0.4">
      <c r="A35" s="25"/>
      <c r="B35" s="26"/>
      <c r="C35" s="26"/>
      <c r="D35" s="26"/>
      <c r="E35" s="26"/>
      <c r="F35" s="26"/>
      <c r="G35" s="26"/>
      <c r="H35" s="26"/>
      <c r="I35" s="26"/>
      <c r="J35" s="26"/>
      <c r="K35" s="26"/>
      <c r="L35" s="26"/>
      <c r="M35" s="26"/>
      <c r="N35" s="26"/>
      <c r="O35" s="26"/>
      <c r="P35" s="26"/>
      <c r="Q35" s="26"/>
      <c r="R35" s="26"/>
      <c r="S35" s="26"/>
      <c r="T35" s="26"/>
      <c r="U35" s="26"/>
      <c r="V35" s="26"/>
      <c r="W35" s="26"/>
      <c r="X35" s="27"/>
    </row>
  </sheetData>
  <mergeCells count="1">
    <mergeCell ref="D32:U3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A1182-4C36-478E-AA5B-9985923AA92B}">
  <dimension ref="A1:T28"/>
  <sheetViews>
    <sheetView zoomScale="96" zoomScaleNormal="96" workbookViewId="0"/>
  </sheetViews>
  <sheetFormatPr defaultRowHeight="14.5" x14ac:dyDescent="0.35"/>
  <sheetData>
    <row r="1" spans="1:18" x14ac:dyDescent="0.35">
      <c r="A1" s="19"/>
      <c r="B1" s="20"/>
      <c r="C1" s="20"/>
      <c r="D1" s="20"/>
      <c r="E1" s="20"/>
      <c r="F1" s="20"/>
      <c r="G1" s="20"/>
      <c r="H1" s="20"/>
      <c r="I1" s="20"/>
      <c r="J1" s="20"/>
      <c r="K1" s="20"/>
      <c r="L1" s="20"/>
      <c r="M1" s="20"/>
      <c r="N1" s="20"/>
      <c r="O1" s="20"/>
      <c r="P1" s="20"/>
      <c r="Q1" s="20"/>
      <c r="R1" s="21"/>
    </row>
    <row r="2" spans="1:18" x14ac:dyDescent="0.35">
      <c r="A2" s="22"/>
      <c r="B2" s="23"/>
      <c r="C2" s="23"/>
      <c r="D2" s="23"/>
      <c r="E2" s="23"/>
      <c r="F2" s="23"/>
      <c r="G2" s="23"/>
      <c r="H2" s="23"/>
      <c r="I2" s="23"/>
      <c r="J2" s="23"/>
      <c r="K2" s="23"/>
      <c r="L2" s="23"/>
      <c r="M2" s="23"/>
      <c r="N2" s="23"/>
      <c r="O2" s="23"/>
      <c r="P2" s="23"/>
      <c r="Q2" s="23"/>
      <c r="R2" s="24"/>
    </row>
    <row r="3" spans="1:18" x14ac:dyDescent="0.35">
      <c r="A3" s="22"/>
      <c r="B3" s="23"/>
      <c r="C3" s="23"/>
      <c r="D3" s="23"/>
      <c r="E3" s="23"/>
      <c r="F3" s="23"/>
      <c r="G3" s="23"/>
      <c r="H3" s="23"/>
      <c r="I3" s="23"/>
      <c r="J3" s="23"/>
      <c r="K3" s="23"/>
      <c r="L3" s="23"/>
      <c r="M3" s="23"/>
      <c r="N3" s="23"/>
      <c r="O3" s="23"/>
      <c r="P3" s="23"/>
      <c r="Q3" s="23"/>
      <c r="R3" s="24"/>
    </row>
    <row r="4" spans="1:18" x14ac:dyDescent="0.35">
      <c r="A4" s="22"/>
      <c r="B4" s="23"/>
      <c r="C4" s="23"/>
      <c r="D4" s="23"/>
      <c r="E4" s="23"/>
      <c r="F4" s="23"/>
      <c r="G4" s="23"/>
      <c r="H4" s="23"/>
      <c r="I4" s="23"/>
      <c r="J4" s="23"/>
      <c r="K4" s="23"/>
      <c r="L4" s="23"/>
      <c r="M4" s="23"/>
      <c r="N4" s="23"/>
      <c r="O4" s="23"/>
      <c r="P4" s="23"/>
      <c r="Q4" s="23"/>
      <c r="R4" s="24"/>
    </row>
    <row r="5" spans="1:18" x14ac:dyDescent="0.35">
      <c r="A5" s="22"/>
      <c r="B5" s="23"/>
      <c r="C5" s="23"/>
      <c r="D5" s="23"/>
      <c r="E5" s="23"/>
      <c r="F5" s="23"/>
      <c r="G5" s="23"/>
      <c r="H5" s="23"/>
      <c r="I5" s="23"/>
      <c r="J5" s="23"/>
      <c r="K5" s="23"/>
      <c r="L5" s="23"/>
      <c r="M5" s="23"/>
      <c r="N5" s="23"/>
      <c r="O5" s="23"/>
      <c r="P5" s="23"/>
      <c r="Q5" s="23"/>
      <c r="R5" s="24"/>
    </row>
    <row r="6" spans="1:18" x14ac:dyDescent="0.35">
      <c r="A6" s="22"/>
      <c r="B6" s="23"/>
      <c r="C6" s="23"/>
      <c r="D6" s="23"/>
      <c r="E6" s="23"/>
      <c r="F6" s="23"/>
      <c r="G6" s="23"/>
      <c r="H6" s="23"/>
      <c r="I6" s="23"/>
      <c r="J6" s="23"/>
      <c r="K6" s="23"/>
      <c r="L6" s="23"/>
      <c r="M6" s="23"/>
      <c r="N6" s="23"/>
      <c r="O6" s="23"/>
      <c r="P6" s="23"/>
      <c r="Q6" s="23"/>
      <c r="R6" s="24"/>
    </row>
    <row r="7" spans="1:18" x14ac:dyDescent="0.35">
      <c r="A7" s="22"/>
      <c r="B7" s="23"/>
      <c r="C7" s="23"/>
      <c r="D7" s="23"/>
      <c r="E7" s="23"/>
      <c r="F7" s="23"/>
      <c r="G7" s="23"/>
      <c r="H7" s="23"/>
      <c r="I7" s="23"/>
      <c r="J7" s="23"/>
      <c r="K7" s="23"/>
      <c r="L7" s="23"/>
      <c r="M7" s="23"/>
      <c r="N7" s="23"/>
      <c r="O7" s="23"/>
      <c r="P7" s="23"/>
      <c r="Q7" s="23"/>
      <c r="R7" s="24"/>
    </row>
    <row r="8" spans="1:18" x14ac:dyDescent="0.35">
      <c r="A8" s="22"/>
      <c r="B8" s="23"/>
      <c r="C8" s="23"/>
      <c r="D8" s="23"/>
      <c r="E8" s="23"/>
      <c r="F8" s="23"/>
      <c r="G8" s="23"/>
      <c r="H8" s="23"/>
      <c r="I8" s="23"/>
      <c r="J8" s="23"/>
      <c r="K8" s="23"/>
      <c r="L8" s="23"/>
      <c r="M8" s="23"/>
      <c r="N8" s="23"/>
      <c r="O8" s="23"/>
      <c r="P8" s="23"/>
      <c r="Q8" s="23"/>
      <c r="R8" s="24"/>
    </row>
    <row r="9" spans="1:18" x14ac:dyDescent="0.35">
      <c r="A9" s="22"/>
      <c r="B9" s="23"/>
      <c r="C9" s="23"/>
      <c r="D9" s="23"/>
      <c r="E9" s="23"/>
      <c r="F9" s="23"/>
      <c r="G9" s="23"/>
      <c r="H9" s="23"/>
      <c r="I9" s="23"/>
      <c r="J9" s="23"/>
      <c r="K9" s="23"/>
      <c r="L9" s="23"/>
      <c r="M9" s="23"/>
      <c r="N9" s="23"/>
      <c r="O9" s="23"/>
      <c r="P9" s="23"/>
      <c r="Q9" s="23"/>
      <c r="R9" s="24"/>
    </row>
    <row r="10" spans="1:18" x14ac:dyDescent="0.35">
      <c r="A10" s="22"/>
      <c r="B10" s="23"/>
      <c r="C10" s="23"/>
      <c r="D10" s="23"/>
      <c r="E10" s="23"/>
      <c r="F10" s="23"/>
      <c r="G10" s="23"/>
      <c r="H10" s="23"/>
      <c r="I10" s="23"/>
      <c r="J10" s="23"/>
      <c r="K10" s="23"/>
      <c r="L10" s="23"/>
      <c r="M10" s="23"/>
      <c r="N10" s="23"/>
      <c r="O10" s="23"/>
      <c r="P10" s="23"/>
      <c r="Q10" s="23"/>
      <c r="R10" s="24"/>
    </row>
    <row r="11" spans="1:18" x14ac:dyDescent="0.35">
      <c r="A11" s="22"/>
      <c r="B11" s="23"/>
      <c r="C11" s="23"/>
      <c r="D11" s="23"/>
      <c r="E11" s="23"/>
      <c r="F11" s="23"/>
      <c r="G11" s="23"/>
      <c r="H11" s="23"/>
      <c r="I11" s="23"/>
      <c r="J11" s="23"/>
      <c r="K11" s="23"/>
      <c r="L11" s="23"/>
      <c r="M11" s="23"/>
      <c r="N11" s="23"/>
      <c r="O11" s="23"/>
      <c r="P11" s="23"/>
      <c r="Q11" s="23"/>
      <c r="R11" s="24"/>
    </row>
    <row r="12" spans="1:18" x14ac:dyDescent="0.35">
      <c r="A12" s="22"/>
      <c r="B12" s="23"/>
      <c r="C12" s="23"/>
      <c r="D12" s="23"/>
      <c r="E12" s="23"/>
      <c r="F12" s="23"/>
      <c r="G12" s="23"/>
      <c r="H12" s="23"/>
      <c r="I12" s="23"/>
      <c r="J12" s="23"/>
      <c r="K12" s="23"/>
      <c r="L12" s="23"/>
      <c r="M12" s="23"/>
      <c r="N12" s="23"/>
      <c r="O12" s="23"/>
      <c r="P12" s="23"/>
      <c r="Q12" s="23"/>
      <c r="R12" s="24"/>
    </row>
    <row r="13" spans="1:18" x14ac:dyDescent="0.35">
      <c r="A13" s="22"/>
      <c r="B13" s="23"/>
      <c r="C13" s="23"/>
      <c r="D13" s="23"/>
      <c r="E13" s="23"/>
      <c r="F13" s="23"/>
      <c r="G13" s="23"/>
      <c r="H13" s="23"/>
      <c r="I13" s="23"/>
      <c r="J13" s="23"/>
      <c r="K13" s="23"/>
      <c r="L13" s="23"/>
      <c r="M13" s="23"/>
      <c r="N13" s="23"/>
      <c r="O13" s="23"/>
      <c r="P13" s="23"/>
      <c r="Q13" s="23"/>
      <c r="R13" s="24"/>
    </row>
    <row r="14" spans="1:18" x14ac:dyDescent="0.35">
      <c r="A14" s="22"/>
      <c r="B14" s="23"/>
      <c r="C14" s="23"/>
      <c r="D14" s="23"/>
      <c r="E14" s="23"/>
      <c r="F14" s="23"/>
      <c r="G14" s="23"/>
      <c r="H14" s="23"/>
      <c r="I14" s="23"/>
      <c r="J14" s="23"/>
      <c r="K14" s="23"/>
      <c r="L14" s="23"/>
      <c r="M14" s="23"/>
      <c r="N14" s="23"/>
      <c r="O14" s="23"/>
      <c r="P14" s="23"/>
      <c r="Q14" s="23"/>
      <c r="R14" s="24"/>
    </row>
    <row r="15" spans="1:18" x14ac:dyDescent="0.35">
      <c r="A15" s="22"/>
      <c r="B15" s="23"/>
      <c r="C15" s="23"/>
      <c r="D15" s="23"/>
      <c r="E15" s="23"/>
      <c r="F15" s="23"/>
      <c r="G15" s="23"/>
      <c r="H15" s="23"/>
      <c r="I15" s="23"/>
      <c r="J15" s="23"/>
      <c r="K15" s="23"/>
      <c r="L15" s="23"/>
      <c r="M15" s="23"/>
      <c r="N15" s="23"/>
      <c r="O15" s="23"/>
      <c r="P15" s="23"/>
      <c r="Q15" s="23"/>
      <c r="R15" s="24"/>
    </row>
    <row r="16" spans="1:18" x14ac:dyDescent="0.35">
      <c r="A16" s="22"/>
      <c r="B16" s="23"/>
      <c r="C16" s="23"/>
      <c r="D16" s="23"/>
      <c r="E16" s="23"/>
      <c r="F16" s="23"/>
      <c r="G16" s="23"/>
      <c r="H16" s="23"/>
      <c r="I16" s="23"/>
      <c r="J16" s="23"/>
      <c r="K16" s="23"/>
      <c r="L16" s="23"/>
      <c r="M16" s="23"/>
      <c r="N16" s="23"/>
      <c r="O16" s="23"/>
      <c r="P16" s="23"/>
      <c r="Q16" s="23"/>
      <c r="R16" s="24"/>
    </row>
    <row r="17" spans="1:20" x14ac:dyDescent="0.35">
      <c r="A17" s="22"/>
      <c r="B17" s="23"/>
      <c r="C17" s="23"/>
      <c r="D17" s="23"/>
      <c r="E17" s="23"/>
      <c r="F17" s="23"/>
      <c r="G17" s="23"/>
      <c r="H17" s="23"/>
      <c r="I17" s="23"/>
      <c r="J17" s="23"/>
      <c r="K17" s="23"/>
      <c r="L17" s="23"/>
      <c r="M17" s="23"/>
      <c r="N17" s="23"/>
      <c r="O17" s="23"/>
      <c r="P17" s="23"/>
      <c r="Q17" s="23"/>
      <c r="R17" s="24"/>
    </row>
    <row r="18" spans="1:20" x14ac:dyDescent="0.35">
      <c r="A18" s="22"/>
      <c r="B18" s="23"/>
      <c r="C18" s="23"/>
      <c r="D18" s="23"/>
      <c r="E18" s="23"/>
      <c r="F18" s="23"/>
      <c r="G18" s="23"/>
      <c r="H18" s="23"/>
      <c r="I18" s="23"/>
      <c r="J18" s="23"/>
      <c r="K18" s="23"/>
      <c r="L18" s="23"/>
      <c r="M18" s="23"/>
      <c r="N18" s="23"/>
      <c r="O18" s="23"/>
      <c r="P18" s="23"/>
      <c r="Q18" s="23"/>
      <c r="R18" s="24"/>
    </row>
    <row r="19" spans="1:20" x14ac:dyDescent="0.35">
      <c r="A19" s="22"/>
      <c r="B19" s="23"/>
      <c r="C19" s="23"/>
      <c r="D19" s="23"/>
      <c r="E19" s="23"/>
      <c r="F19" s="23"/>
      <c r="G19" s="23"/>
      <c r="H19" s="23"/>
      <c r="I19" s="23"/>
      <c r="J19" s="23"/>
      <c r="K19" s="23"/>
      <c r="L19" s="23"/>
      <c r="M19" s="23"/>
      <c r="N19" s="23"/>
      <c r="O19" s="23"/>
      <c r="P19" s="23"/>
      <c r="Q19" s="23"/>
      <c r="R19" s="24"/>
    </row>
    <row r="20" spans="1:20" x14ac:dyDescent="0.35">
      <c r="A20" s="22"/>
      <c r="B20" s="23"/>
      <c r="C20" s="23"/>
      <c r="D20" s="23"/>
      <c r="E20" s="23"/>
      <c r="F20" s="23"/>
      <c r="G20" s="23"/>
      <c r="H20" s="23"/>
      <c r="I20" s="23"/>
      <c r="J20" s="23"/>
      <c r="K20" s="23"/>
      <c r="L20" s="23"/>
      <c r="M20" s="23"/>
      <c r="N20" s="23"/>
      <c r="O20" s="23"/>
      <c r="P20" s="23"/>
      <c r="Q20" s="23"/>
      <c r="R20" s="24"/>
    </row>
    <row r="21" spans="1:20" x14ac:dyDescent="0.35">
      <c r="A21" s="22"/>
      <c r="B21" s="23"/>
      <c r="C21" s="23"/>
      <c r="D21" s="23"/>
      <c r="E21" s="23"/>
      <c r="F21" s="23"/>
      <c r="G21" s="23"/>
      <c r="H21" s="23"/>
      <c r="I21" s="23"/>
      <c r="J21" s="23"/>
      <c r="K21" s="23"/>
      <c r="L21" s="23"/>
      <c r="M21" s="23"/>
      <c r="N21" s="23"/>
      <c r="O21" s="23"/>
      <c r="P21" s="23"/>
      <c r="Q21" s="23"/>
      <c r="R21" s="24"/>
    </row>
    <row r="22" spans="1:20" x14ac:dyDescent="0.35">
      <c r="A22" s="22"/>
      <c r="B22" s="23"/>
      <c r="C22" s="23"/>
      <c r="D22" s="23"/>
      <c r="E22" s="23"/>
      <c r="F22" s="23"/>
      <c r="G22" s="23"/>
      <c r="H22" s="23"/>
      <c r="I22" s="23"/>
      <c r="J22" s="23"/>
      <c r="K22" s="23"/>
      <c r="L22" s="23"/>
      <c r="M22" s="23"/>
      <c r="N22" s="23"/>
      <c r="O22" s="23"/>
      <c r="P22" s="23"/>
      <c r="Q22" s="23"/>
      <c r="R22" s="24"/>
    </row>
    <row r="23" spans="1:20" x14ac:dyDescent="0.35">
      <c r="A23" s="22"/>
      <c r="B23" s="23"/>
      <c r="C23" s="23"/>
      <c r="D23" s="23"/>
      <c r="E23" s="23"/>
      <c r="F23" s="23"/>
      <c r="G23" s="23"/>
      <c r="H23" s="23"/>
      <c r="I23" s="23"/>
      <c r="J23" s="23"/>
      <c r="K23" s="23"/>
      <c r="L23" s="23"/>
      <c r="M23" s="23"/>
      <c r="N23" s="23"/>
      <c r="O23" s="23"/>
      <c r="P23" s="23"/>
      <c r="Q23" s="23"/>
      <c r="R23" s="24"/>
    </row>
    <row r="24" spans="1:20" ht="19" customHeight="1" x14ac:dyDescent="0.35">
      <c r="A24" s="22"/>
      <c r="B24" s="23"/>
      <c r="C24" s="60" t="s">
        <v>14</v>
      </c>
      <c r="D24" s="59"/>
      <c r="E24" s="59"/>
      <c r="F24" s="59"/>
      <c r="G24" s="59"/>
      <c r="H24" s="59"/>
      <c r="I24" s="59"/>
      <c r="J24" s="59"/>
      <c r="K24" s="59"/>
      <c r="L24" s="59"/>
      <c r="M24" s="59"/>
      <c r="N24" s="59"/>
      <c r="O24" s="59"/>
      <c r="P24" s="28"/>
      <c r="Q24" s="28"/>
      <c r="R24" s="28"/>
      <c r="S24" s="29"/>
      <c r="T24" s="29"/>
    </row>
    <row r="25" spans="1:20" ht="14.5" customHeight="1" x14ac:dyDescent="0.35">
      <c r="A25" s="22"/>
      <c r="B25" s="23"/>
      <c r="C25" s="28"/>
      <c r="D25" s="28"/>
      <c r="E25" s="28"/>
      <c r="F25" s="28"/>
      <c r="G25" s="28"/>
      <c r="H25" s="28"/>
      <c r="I25" s="28"/>
      <c r="J25" s="28"/>
      <c r="K25" s="28"/>
      <c r="L25" s="28"/>
      <c r="M25" s="28"/>
      <c r="N25" s="28"/>
      <c r="O25" s="28"/>
      <c r="P25" s="28"/>
      <c r="Q25" s="28"/>
      <c r="R25" s="28"/>
      <c r="S25" s="29"/>
      <c r="T25" s="29"/>
    </row>
    <row r="26" spans="1:20" x14ac:dyDescent="0.35">
      <c r="A26" s="22"/>
      <c r="B26" s="23"/>
      <c r="C26" s="23"/>
      <c r="D26" s="23"/>
      <c r="E26" s="23"/>
      <c r="F26" s="23"/>
      <c r="G26" s="23"/>
      <c r="H26" s="23"/>
      <c r="I26" s="23"/>
      <c r="J26" s="23"/>
      <c r="K26" s="23"/>
      <c r="L26" s="23"/>
      <c r="M26" s="23"/>
      <c r="N26" s="23"/>
      <c r="O26" s="23"/>
      <c r="P26" s="23"/>
      <c r="Q26" s="23"/>
      <c r="R26" s="24"/>
    </row>
    <row r="27" spans="1:20" x14ac:dyDescent="0.35">
      <c r="A27" s="22"/>
      <c r="B27" s="23"/>
      <c r="C27" s="23"/>
      <c r="D27" s="23"/>
      <c r="E27" s="23"/>
      <c r="F27" s="23"/>
      <c r="G27" s="23"/>
      <c r="H27" s="23"/>
      <c r="I27" s="23"/>
      <c r="J27" s="23"/>
      <c r="K27" s="23"/>
      <c r="L27" s="23"/>
      <c r="M27" s="23"/>
      <c r="N27" s="23"/>
      <c r="O27" s="23"/>
      <c r="P27" s="23"/>
      <c r="Q27" s="23"/>
      <c r="R27" s="24"/>
    </row>
    <row r="28" spans="1:20" ht="15" thickBot="1" x14ac:dyDescent="0.4">
      <c r="A28" s="25"/>
      <c r="B28" s="26"/>
      <c r="C28" s="26"/>
      <c r="D28" s="26"/>
      <c r="E28" s="26"/>
      <c r="F28" s="26"/>
      <c r="G28" s="26"/>
      <c r="H28" s="26"/>
      <c r="I28" s="26"/>
      <c r="J28" s="26"/>
      <c r="K28" s="26"/>
      <c r="L28" s="26"/>
      <c r="M28" s="26"/>
      <c r="N28" s="26"/>
      <c r="O28" s="26"/>
      <c r="P28" s="26"/>
      <c r="Q28" s="26"/>
      <c r="R28" s="27"/>
    </row>
  </sheetData>
  <mergeCells count="1">
    <mergeCell ref="C24:O24"/>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6FBB661E-1C98-4428-B5BD-2AC0E3EFC238}">
  <ds:schemaRefs/>
</ds:datastoreItem>
</file>

<file path=customXml/itemProps2.xml><?xml version="1.0" encoding="utf-8"?>
<ds:datastoreItem xmlns:ds="http://schemas.openxmlformats.org/officeDocument/2006/customXml" ds:itemID="{4A9D0F1A-284D-4728-A827-6830234D6332}">
  <ds:schemaRefs/>
</ds:datastoreItem>
</file>

<file path=customXml/itemProps3.xml><?xml version="1.0" encoding="utf-8"?>
<ds:datastoreItem xmlns:ds="http://schemas.openxmlformats.org/officeDocument/2006/customXml" ds:itemID="{00EF36B8-6364-4484-86A9-1DF93ABCEAC3}">
  <ds:schemaRefs/>
</ds:datastoreItem>
</file>

<file path=customXml/itemProps4.xml><?xml version="1.0" encoding="utf-8"?>
<ds:datastoreItem xmlns:ds="http://schemas.openxmlformats.org/officeDocument/2006/customXml" ds:itemID="{007C6BBA-B49F-44AB-ABC1-5974B73D9DFF}">
  <ds:schemaRefs/>
</ds:datastoreItem>
</file>

<file path=customXml/itemProps5.xml><?xml version="1.0" encoding="utf-8"?>
<ds:datastoreItem xmlns:ds="http://schemas.openxmlformats.org/officeDocument/2006/customXml" ds:itemID="{E537323C-44E2-4636-85A1-4ED9EBB1E820}">
  <ds:schemaRefs/>
</ds:datastoreItem>
</file>

<file path=customXml/itemProps6.xml><?xml version="1.0" encoding="utf-8"?>
<ds:datastoreItem xmlns:ds="http://schemas.openxmlformats.org/officeDocument/2006/customXml" ds:itemID="{653185CA-CF3C-4329-B94C-71D250688D9C}">
  <ds:schemaRefs/>
</ds:datastoreItem>
</file>

<file path=customXml/itemProps7.xml><?xml version="1.0" encoding="utf-8"?>
<ds:datastoreItem xmlns:ds="http://schemas.openxmlformats.org/officeDocument/2006/customXml" ds:itemID="{D84CDB8C-4583-41F8-B9DE-768B8823D1D8}">
  <ds:schemaRefs/>
</ds:datastoreItem>
</file>

<file path=customXml/itemProps8.xml><?xml version="1.0" encoding="utf-8"?>
<ds:datastoreItem xmlns:ds="http://schemas.openxmlformats.org/officeDocument/2006/customXml" ds:itemID="{8B1994A4-3B16-4674-B8E6-7E185005CA4A}">
  <ds:schemaRefs/>
</ds:datastoreItem>
</file>

<file path=customXml/itemProps9.xml><?xml version="1.0" encoding="utf-8"?>
<ds:datastoreItem xmlns:ds="http://schemas.openxmlformats.org/officeDocument/2006/customXml" ds:itemID="{8183A72C-C27E-45A6-A86B-63EDA96132B7}">
  <ds:schemaRefs/>
</ds:datastoreItem>
</file>

<file path=customXml/itemProps10.xml><?xml version="1.0" encoding="utf-8"?>
<ds:datastoreItem xmlns:ds="http://schemas.openxmlformats.org/officeDocument/2006/customXml" ds:itemID="{00109A92-B8E9-47D5-A508-683C5868BEC9}">
  <ds:schemaRefs/>
</ds:datastoreItem>
</file>

<file path=customXml/itemProps11.xml><?xml version="1.0" encoding="utf-8"?>
<ds:datastoreItem xmlns:ds="http://schemas.openxmlformats.org/officeDocument/2006/customXml" ds:itemID="{0F6FEB98-5510-4357-8315-A6BCB2C800A0}">
  <ds:schemaRefs/>
</ds:datastoreItem>
</file>

<file path=customXml/itemProps12.xml><?xml version="1.0" encoding="utf-8"?>
<ds:datastoreItem xmlns:ds="http://schemas.openxmlformats.org/officeDocument/2006/customXml" ds:itemID="{B95350E6-FE76-4BCD-8FE4-2F07E5331398}">
  <ds:schemaRefs/>
</ds:datastoreItem>
</file>

<file path=customXml/itemProps13.xml><?xml version="1.0" encoding="utf-8"?>
<ds:datastoreItem xmlns:ds="http://schemas.openxmlformats.org/officeDocument/2006/customXml" ds:itemID="{832B0B40-2040-41F3-82E8-F0F380F6B3CF}">
  <ds:schemaRefs/>
</ds:datastoreItem>
</file>

<file path=customXml/itemProps14.xml><?xml version="1.0" encoding="utf-8"?>
<ds:datastoreItem xmlns:ds="http://schemas.openxmlformats.org/officeDocument/2006/customXml" ds:itemID="{5C947DD9-5ADC-4109-ACA0-EB5CF8342A77}">
  <ds:schemaRefs/>
</ds:datastoreItem>
</file>

<file path=customXml/itemProps15.xml><?xml version="1.0" encoding="utf-8"?>
<ds:datastoreItem xmlns:ds="http://schemas.openxmlformats.org/officeDocument/2006/customXml" ds:itemID="{CA71CE5F-585D-4CD2-BBD5-8DB881C2527B}">
  <ds:schemaRefs>
    <ds:schemaRef ds:uri="http://schemas.microsoft.com/DataMashup"/>
  </ds:schemaRefs>
</ds:datastoreItem>
</file>

<file path=customXml/itemProps16.xml><?xml version="1.0" encoding="utf-8"?>
<ds:datastoreItem xmlns:ds="http://schemas.openxmlformats.org/officeDocument/2006/customXml" ds:itemID="{9CFAF488-389C-4ACB-A4EA-7A18C777A464}">
  <ds:schemaRefs/>
</ds:datastoreItem>
</file>

<file path=customXml/itemProps17.xml><?xml version="1.0" encoding="utf-8"?>
<ds:datastoreItem xmlns:ds="http://schemas.openxmlformats.org/officeDocument/2006/customXml" ds:itemID="{A58C4AEC-B6A3-4343-9E73-2FE16EBAE346}">
  <ds:schemaRefs/>
</ds:datastoreItem>
</file>

<file path=customXml/itemProps18.xml><?xml version="1.0" encoding="utf-8"?>
<ds:datastoreItem xmlns:ds="http://schemas.openxmlformats.org/officeDocument/2006/customXml" ds:itemID="{527D608D-14CE-41E0-B560-DF1ADD69785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Patients</vt:lpstr>
      <vt:lpstr>Average Wait Time of Patients</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Tahir Hasan Mondal</dc:creator>
  <cp:lastModifiedBy>Md. Tahir Hasan Mondal</cp:lastModifiedBy>
  <dcterms:created xsi:type="dcterms:W3CDTF">2026-06-13T05:56:48Z</dcterms:created>
  <dcterms:modified xsi:type="dcterms:W3CDTF">2026-06-15T05:41:02Z</dcterms:modified>
</cp:coreProperties>
</file>